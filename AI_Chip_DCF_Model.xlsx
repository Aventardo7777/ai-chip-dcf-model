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Bear_Case" sheetId="3" state="visible" r:id="rId3"/>
    <sheet xmlns:r="http://schemas.openxmlformats.org/officeDocument/2006/relationships" name="Base_Case" sheetId="4" state="visible" r:id="rId4"/>
    <sheet xmlns:r="http://schemas.openxmlformats.org/officeDocument/2006/relationships" name="Bull_Case" sheetId="5" state="visible" r:id="rId5"/>
    <sheet xmlns:r="http://schemas.openxmlformats.org/officeDocument/2006/relationships" name="Scenario_Summary" sheetId="6" state="visible" r:id="rId6"/>
    <sheet xmlns:r="http://schemas.openxmlformats.org/officeDocument/2006/relationships" name="WACC_Sensitivity" sheetId="7" state="visible" r:id="rId7"/>
    <sheet xmlns:r="http://schemas.openxmlformats.org/officeDocument/2006/relationships" name="TV_Sensitivit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$#,##0.0,,&quot;M&quot;;($#,##0.0,,&quot;M&quot;);&quot;-&quot;"/>
    <numFmt numFmtId="165" formatCode="0.0%;(0.0%);&quot;-&quot;"/>
    <numFmt numFmtId="166" formatCode="0.0&quot;x&quot;;(0.0&quot;x&quot;);&quot;-&quot;"/>
    <numFmt numFmtId="167" formatCode="#,##0;(#,##0);&quot;-&quot;"/>
    <numFmt numFmtId="168" formatCode="$#,##0;($#,##0);&quot;-&quot;"/>
    <numFmt numFmtId="169" formatCode="#,##0.00;(#,##0.00);&quot;-&quot;"/>
  </numFmts>
  <fonts count="19">
    <font>
      <name val="Calibri"/>
      <family val="2"/>
      <color theme="1"/>
      <sz val="11"/>
      <scheme val="minor"/>
    </font>
    <font>
      <name val="Calibri"/>
      <b val="1"/>
      <color rgb="001B2A4A"/>
      <sz val="16"/>
    </font>
    <font>
      <name val="Calibri"/>
      <i val="1"/>
      <color rgb="001B2A4A"/>
      <sz val="13"/>
    </font>
    <font>
      <name val="Calibri"/>
      <b val="1"/>
      <color rgb="00FFFFFF"/>
      <sz val="11"/>
    </font>
    <font>
      <name val="Calibri"/>
      <b val="1"/>
      <color rgb="001B2A4A"/>
      <sz val="11"/>
    </font>
    <font>
      <name val="Calibri"/>
      <color rgb="00000000"/>
      <sz val="11"/>
    </font>
    <font>
      <name val="Calibri"/>
      <b val="1"/>
      <color rgb="000000FF"/>
      <sz val="11"/>
      <u val="single"/>
    </font>
    <font>
      <name val="Calibri"/>
      <b val="1"/>
      <color rgb="000000FF"/>
      <sz val="11"/>
    </font>
    <font>
      <name val="Calibri"/>
      <b val="1"/>
      <color rgb="00000000"/>
      <sz val="11"/>
    </font>
    <font>
      <name val="Calibri"/>
      <b val="1"/>
      <color rgb="001B7D46"/>
      <sz val="11"/>
    </font>
    <font>
      <name val="Calibri"/>
      <i val="1"/>
      <color rgb="00808080"/>
      <sz val="9"/>
    </font>
    <font>
      <name val="Calibri"/>
      <i val="1"/>
      <color rgb="00C0392B"/>
      <sz val="9"/>
    </font>
    <font>
      <name val="Calibri"/>
      <i val="1"/>
      <color rgb="001B2A4A"/>
      <sz val="9"/>
    </font>
    <font>
      <name val="Calibri"/>
      <i val="1"/>
      <color rgb="001B7D46"/>
      <sz val="9"/>
    </font>
    <font>
      <name val="Calibri"/>
      <color rgb="000000FF"/>
      <sz val="11"/>
    </font>
    <font>
      <name val="Calibri"/>
      <i val="1"/>
      <color rgb="00C0392B"/>
      <sz val="10"/>
    </font>
    <font>
      <name val="Calibri"/>
      <color rgb="001B7D46"/>
      <sz val="11"/>
    </font>
    <font>
      <name val="Calibri"/>
      <i val="1"/>
      <color rgb="001B2A4A"/>
      <sz val="10"/>
    </font>
    <font>
      <name val="Calibri"/>
      <i val="1"/>
      <color rgb="001B7D46"/>
      <sz val="10"/>
    </font>
  </fonts>
  <fills count="7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FF9E6"/>
      </patternFill>
    </fill>
    <fill>
      <patternFill patternType="solid">
        <fgColor rgb="00FFF2CC"/>
      </patternFill>
    </fill>
    <fill>
      <patternFill patternType="solid">
        <fgColor rgb="00E8EEF7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top style="medium">
        <color rgb="001B2A4A"/>
      </top>
    </border>
  </borders>
  <cellStyleXfs count="1">
    <xf numFmtId="0" fontId="0" fillId="0" borderId="0"/>
  </cellStyleXfs>
  <cellXfs count="6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 indent="1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7" fillId="3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7" fillId="4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top" wrapText="1"/>
    </xf>
    <xf numFmtId="0" fontId="3" fillId="2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top" wrapText="1"/>
    </xf>
    <xf numFmtId="0" fontId="12" fillId="0" borderId="0" applyAlignment="1" pivotButton="0" quotePrefix="0" xfId="0">
      <alignment horizontal="left" vertical="top" wrapText="1"/>
    </xf>
    <xf numFmtId="0" fontId="13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 indent="1"/>
    </xf>
    <xf numFmtId="164" fontId="14" fillId="3" borderId="0" applyAlignment="1" pivotButton="0" quotePrefix="0" xfId="0">
      <alignment horizontal="right" vertical="center"/>
    </xf>
    <xf numFmtId="0" fontId="10" fillId="0" borderId="0" pivotButton="0" quotePrefix="0" xfId="0"/>
    <xf numFmtId="0" fontId="8" fillId="0" borderId="0" applyAlignment="1" pivotButton="0" quotePrefix="0" xfId="0">
      <alignment horizontal="left" vertical="center" indent="1"/>
    </xf>
    <xf numFmtId="165" fontId="14" fillId="3" borderId="0" applyAlignment="1" pivotButton="0" quotePrefix="0" xfId="0">
      <alignment horizontal="right" vertical="center"/>
    </xf>
    <xf numFmtId="165" fontId="14" fillId="4" borderId="0" applyAlignment="1" pivotButton="0" quotePrefix="0" xfId="0">
      <alignment horizontal="right" vertical="center"/>
    </xf>
    <xf numFmtId="166" fontId="14" fillId="3" borderId="0" applyAlignment="1" pivotButton="0" quotePrefix="0" xfId="0">
      <alignment horizontal="right" vertical="center"/>
    </xf>
    <xf numFmtId="165" fontId="8" fillId="5" borderId="1" applyAlignment="1" pivotButton="0" quotePrefix="0" xfId="0">
      <alignment horizontal="right" vertical="center"/>
    </xf>
    <xf numFmtId="167" fontId="14" fillId="3" borderId="0" applyAlignment="1" pivotButton="0" quotePrefix="0" xfId="0">
      <alignment horizontal="right" vertical="center"/>
    </xf>
    <xf numFmtId="168" fontId="14" fillId="3" borderId="0" applyAlignment="1" pivotButton="0" quotePrefix="0" xfId="0">
      <alignment horizontal="right" vertical="center"/>
    </xf>
    <xf numFmtId="0" fontId="15" fillId="0" borderId="0" pivotButton="0" quotePrefix="0" xfId="0"/>
    <xf numFmtId="164" fontId="8" fillId="5" borderId="1" applyAlignment="1" pivotButton="0" quotePrefix="0" xfId="0">
      <alignment horizontal="right" vertical="center"/>
    </xf>
    <xf numFmtId="0" fontId="0" fillId="0" borderId="0" applyAlignment="1" pivotButton="0" quotePrefix="0" xfId="0">
      <alignment horizontal="right" vertical="center"/>
    </xf>
    <xf numFmtId="165" fontId="5" fillId="0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left" vertical="center"/>
    </xf>
    <xf numFmtId="164" fontId="5" fillId="0" borderId="0" applyAlignment="1" pivotButton="0" quotePrefix="0" xfId="0">
      <alignment horizontal="right" vertical="center"/>
    </xf>
    <xf numFmtId="164" fontId="16" fillId="0" borderId="0" applyAlignment="1" pivotButton="0" quotePrefix="0" xfId="0">
      <alignment horizontal="right" vertical="center"/>
    </xf>
    <xf numFmtId="165" fontId="9" fillId="0" borderId="0" applyAlignment="1" pivotButton="0" quotePrefix="0" xfId="0">
      <alignment horizontal="right" vertical="center"/>
    </xf>
    <xf numFmtId="169" fontId="5" fillId="0" borderId="0" applyAlignment="1" pivotButton="0" quotePrefix="0" xfId="0">
      <alignment horizontal="right" vertical="center"/>
    </xf>
    <xf numFmtId="0" fontId="8" fillId="5" borderId="1" pivotButton="0" quotePrefix="0" xfId="0"/>
    <xf numFmtId="165" fontId="16" fillId="0" borderId="0" applyAlignment="1" pivotButton="0" quotePrefix="0" xfId="0">
      <alignment horizontal="right" vertical="center"/>
    </xf>
    <xf numFmtId="164" fontId="8" fillId="0" borderId="0" applyAlignment="1" pivotButton="0" quotePrefix="0" xfId="0">
      <alignment horizontal="right" vertical="center"/>
    </xf>
    <xf numFmtId="166" fontId="16" fillId="0" borderId="0" applyAlignment="1" pivotButton="0" quotePrefix="0" xfId="0">
      <alignment horizontal="right" vertical="center"/>
    </xf>
    <xf numFmtId="164" fontId="9" fillId="0" borderId="0" applyAlignment="1" pivotButton="0" quotePrefix="0" xfId="0">
      <alignment horizontal="right" vertical="center"/>
    </xf>
    <xf numFmtId="167" fontId="16" fillId="0" borderId="0" applyAlignment="1" pivotButton="0" quotePrefix="0" xfId="0">
      <alignment horizontal="right" vertical="center"/>
    </xf>
    <xf numFmtId="168" fontId="8" fillId="5" borderId="1" applyAlignment="1" pivotButton="0" quotePrefix="0" xfId="0">
      <alignment horizontal="right" vertical="center"/>
    </xf>
    <xf numFmtId="168" fontId="16" fillId="0" borderId="0" applyAlignment="1" pivotButton="0" quotePrefix="0" xfId="0">
      <alignment horizontal="right" vertical="center"/>
    </xf>
    <xf numFmtId="165" fontId="8" fillId="0" borderId="0" applyAlignment="1" pivotButton="0" quotePrefix="0" xfId="0">
      <alignment horizontal="right" vertical="center"/>
    </xf>
    <xf numFmtId="0" fontId="4" fillId="6" borderId="0" applyAlignment="1" pivotButton="0" quotePrefix="0" xfId="0">
      <alignment horizontal="left" vertical="center"/>
    </xf>
    <xf numFmtId="168" fontId="5" fillId="0" borderId="0" applyAlignment="1" pivotButton="0" quotePrefix="0" xfId="0">
      <alignment horizontal="right" vertical="center"/>
    </xf>
    <xf numFmtId="0" fontId="17" fillId="0" borderId="0" pivotButton="0" quotePrefix="0" xfId="0"/>
    <xf numFmtId="0" fontId="18" fillId="0" borderId="0" pivotButton="0" quotePrefix="0" xfId="0"/>
    <xf numFmtId="168" fontId="9" fillId="0" borderId="0" applyAlignment="1" pivotButton="0" quotePrefix="0" xfId="0">
      <alignment horizontal="right" vertical="center"/>
    </xf>
    <xf numFmtId="0" fontId="8" fillId="0" borderId="0" applyAlignment="1" pivotButton="0" quotePrefix="0" xfId="0">
      <alignment horizontal="right" vertical="center"/>
    </xf>
    <xf numFmtId="0" fontId="4" fillId="6" borderId="0" applyAlignment="1" pivotButton="0" quotePrefix="0" xfId="0">
      <alignment horizontal="center" vertical="center" wrapText="1"/>
    </xf>
    <xf numFmtId="165" fontId="3" fillId="2" borderId="0" applyAlignment="1" pivotButton="0" quotePrefix="0" xfId="0">
      <alignment horizontal="center" vertical="center" wrapText="1"/>
    </xf>
    <xf numFmtId="165" fontId="7" fillId="4" borderId="0" applyAlignment="1" pivotButton="0" quotePrefix="0" xfId="0">
      <alignment horizontal="center" vertical="center" wrapText="1"/>
    </xf>
    <xf numFmtId="165" fontId="4" fillId="6" borderId="0" applyAlignment="1" pivotButton="0" quotePrefix="0" xfId="0">
      <alignment horizontal="center" vertical="center" wrapText="1"/>
    </xf>
    <xf numFmtId="166" fontId="4" fillId="6" borderId="0" applyAlignment="1" pivotButton="0" quotePrefix="0" xfId="0">
      <alignment horizontal="center" vertical="center" wrapText="1"/>
    </xf>
    <xf numFmtId="166" fontId="7" fillId="4" borderId="0" applyAlignment="1" pivotButton="0" quotePrefix="0" xfId="0">
      <alignment horizontal="center" vertical="center" wrapText="1"/>
    </xf>
    <xf numFmtId="166" fontId="9" fillId="0" borderId="0" applyAlignment="1" pivotButton="0" quotePrefix="0" xfId="0">
      <alignment horizontal="right" vertical="center"/>
    </xf>
  </cellXfs>
  <cellStyles count="1">
    <cellStyle name="Normal" xfId="0" builtinId="0" hidden="0"/>
  </cellStyles>
  <dxfs count="2">
    <dxf>
      <font>
        <b val="1"/>
        <color rgb="001B7D46"/>
      </font>
    </dxf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omments/comment1.xml><?xml version="1.0" encoding="utf-8"?>
<comments xmlns="http://schemas.openxmlformats.org/spreadsheetml/2006/main">
  <authors>
    <author>DCF Model</author>
  </authors>
  <commentList>
    <comment ref="C8" authorId="0" shapeId="0">
      <text>
        <t>Hypothetical base-year revenue</t>
      </text>
    </comment>
    <comment ref="D8" authorId="0" shapeId="0">
      <text>
        <t>Hypothetical base-year revenue</t>
      </text>
    </comment>
    <comment ref="E8" authorId="0" shapeId="0">
      <text>
        <t>Hypothetical base-year revenue</t>
      </text>
    </comment>
    <comment ref="C9" authorId="0" shapeId="0">
      <text>
        <t>Bear case 5-yr CAGR</t>
      </text>
    </comment>
    <comment ref="D9" authorId="0" shapeId="0">
      <text>
        <t>Base case 5-yr CAGR</t>
      </text>
    </comment>
    <comment ref="E9" authorId="0" shapeId="0">
      <text>
        <t>Bull case 5-yr CAGR</t>
      </text>
    </comment>
  </commentList>
</comments>
</file>

<file path=xl/comments/comment2.xml><?xml version="1.0" encoding="utf-8"?>
<comments xmlns="http://schemas.openxmlformats.org/spreadsheetml/2006/main">
  <authors>
    <author>DCF Model</author>
  </authors>
  <commentList>
    <comment ref="C11" authorId="0" shapeId="0">
      <text>
        <t>FY2024A actual gross profit</t>
      </text>
    </comment>
    <comment ref="C13" authorId="0" shapeId="0">
      <text>
        <t>FY2024A actual OpEx</t>
      </text>
    </comment>
    <comment ref="C16" authorId="0" shapeId="0">
      <text>
        <t>FY2024A actual D&amp;A</t>
      </text>
    </comment>
    <comment ref="C19" authorId="0" shapeId="0">
      <text>
        <t>FY2024A actual tax</t>
      </text>
    </comment>
    <comment ref="C25" authorId="0" shapeId="0">
      <text>
        <t>FY2024A actual CapEx</t>
      </text>
    </comment>
    <comment ref="C26" authorId="0" shapeId="0">
      <text>
        <t>Base year ΔNWC = 0 (actual)</t>
      </text>
    </comment>
  </commentList>
</comments>
</file>

<file path=xl/comments/comment3.xml><?xml version="1.0" encoding="utf-8"?>
<comments xmlns="http://schemas.openxmlformats.org/spreadsheetml/2006/main">
  <authors>
    <author>DCF Model</author>
  </authors>
  <commentList>
    <comment ref="C11" authorId="0" shapeId="0">
      <text>
        <t>FY2024A actual gross profit</t>
      </text>
    </comment>
    <comment ref="C13" authorId="0" shapeId="0">
      <text>
        <t>FY2024A actual OpEx</t>
      </text>
    </comment>
    <comment ref="C16" authorId="0" shapeId="0">
      <text>
        <t>FY2024A actual D&amp;A</t>
      </text>
    </comment>
    <comment ref="C19" authorId="0" shapeId="0">
      <text>
        <t>FY2024A actual tax</t>
      </text>
    </comment>
    <comment ref="C25" authorId="0" shapeId="0">
      <text>
        <t>FY2024A actual CapEx</t>
      </text>
    </comment>
    <comment ref="C26" authorId="0" shapeId="0">
      <text>
        <t>Base year ΔNWC = 0 (actual)</t>
      </text>
    </comment>
  </commentList>
</comments>
</file>

<file path=xl/comments/comment4.xml><?xml version="1.0" encoding="utf-8"?>
<comments xmlns="http://schemas.openxmlformats.org/spreadsheetml/2006/main">
  <authors>
    <author>DCF Model</author>
  </authors>
  <commentList>
    <comment ref="C11" authorId="0" shapeId="0">
      <text>
        <t>FY2024A actual gross profit</t>
      </text>
    </comment>
    <comment ref="C13" authorId="0" shapeId="0">
      <text>
        <t>FY2024A actual OpEx</t>
      </text>
    </comment>
    <comment ref="C16" authorId="0" shapeId="0">
      <text>
        <t>FY2024A actual D&amp;A</t>
      </text>
    </comment>
    <comment ref="C19" authorId="0" shapeId="0">
      <text>
        <t>FY2024A actual tax</t>
      </text>
    </comment>
    <comment ref="C25" authorId="0" shapeId="0">
      <text>
        <t>FY2024A actual CapEx</t>
      </text>
    </comment>
    <comment ref="C26" authorId="0" shapeId="0">
      <text>
        <t>Base year ΔNWC = 0 (actual)</t>
      </text>
    </comment>
  </commentList>
</comments>
</file>

<file path=xl/comments/comment5.xml><?xml version="1.0" encoding="utf-8"?>
<comments xmlns="http://schemas.openxmlformats.org/spreadsheetml/2006/main">
  <authors>
    <author>DCF Model</author>
  </authors>
  <commentList>
    <comment ref="C19" authorId="0" shapeId="0">
      <text>
        <t>Bear case probability</t>
      </text>
    </comment>
    <comment ref="D19" authorId="0" shapeId="0">
      <text>
        <t>Base case probability</t>
      </text>
    </comment>
    <comment ref="E19" authorId="0" shapeId="0">
      <text>
        <t>Bull case probability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31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8" customHeight="1"/>
    <row r="2" ht="30" customHeight="1">
      <c r="B2" s="1" t="inlineStr">
        <is>
          <t>AI Chip Company — DCF Valuation Model</t>
        </is>
      </c>
    </row>
    <row r="3" ht="6" customHeight="1"/>
    <row r="4" ht="24" customHeight="1">
      <c r="B4" s="2" t="inlineStr">
        <is>
          <t>Discounted Cash Flow Valuation with Bear / Base / Bull Scenarios</t>
        </is>
      </c>
    </row>
    <row r="6" ht="22" customHeight="1">
      <c r="B6" s="3" t="inlineStr">
        <is>
          <t xml:space="preserve">  Model Overview</t>
        </is>
      </c>
    </row>
    <row r="7" ht="20" customHeight="1">
      <c r="B7" s="4" t="inlineStr">
        <is>
          <t>Subject</t>
        </is>
      </c>
      <c r="C7" s="5" t="inlineStr">
        <is>
          <t>Hypothetical AI Chip Company (NVIDIA-like profile)</t>
        </is>
      </c>
    </row>
    <row r="8" ht="20" customHeight="1">
      <c r="B8" s="4" t="inlineStr">
        <is>
          <t>Base Year</t>
        </is>
      </c>
      <c r="C8" s="5" t="inlineStr">
        <is>
          <t>FY2024 (Actual)</t>
        </is>
      </c>
    </row>
    <row r="9" ht="20" customHeight="1">
      <c r="B9" s="4" t="inlineStr">
        <is>
          <t>Forecast Horizon</t>
        </is>
      </c>
      <c r="C9" s="5" t="inlineStr">
        <is>
          <t>FY2025E – FY2029E (5-year explicit) + Terminal</t>
        </is>
      </c>
    </row>
    <row r="10" ht="20" customHeight="1">
      <c r="B10" s="4" t="inlineStr">
        <is>
          <t>Base Case CAGR</t>
        </is>
      </c>
      <c r="C10" s="5" t="inlineStr">
        <is>
          <t>25% (5-year revenue CAGR, per requirement)</t>
        </is>
      </c>
    </row>
    <row r="11" ht="20" customHeight="1">
      <c r="B11" s="4" t="inlineStr">
        <is>
          <t>Scenarios</t>
        </is>
      </c>
      <c r="C11" s="5" t="inlineStr">
        <is>
          <t>Bear (12% CAGR) / Base (25%) / Bull (40%)</t>
        </is>
      </c>
    </row>
    <row r="12" ht="20" customHeight="1">
      <c r="B12" s="4" t="inlineStr">
        <is>
          <t>Valuation Methods</t>
        </is>
      </c>
      <c r="C12" s="5" t="inlineStr">
        <is>
          <t>DCF (Gordon Growth) + Exit EV/EBITDA Multiple cross-check</t>
        </is>
      </c>
    </row>
    <row r="13" ht="20" customHeight="1">
      <c r="B13" s="4" t="inlineStr">
        <is>
          <t>Sensitivities</t>
        </is>
      </c>
      <c r="C13" s="5" t="inlineStr">
        <is>
          <t>WACC × Terminal Growth ; Exit Multiple × WACC</t>
        </is>
      </c>
    </row>
    <row r="14" ht="20" customHeight="1">
      <c r="B14" s="4" t="inlineStr">
        <is>
          <t>Currency</t>
        </is>
      </c>
      <c r="C14" s="5" t="inlineStr">
        <is>
          <t>USD, $ Millions (unless noted)</t>
        </is>
      </c>
    </row>
    <row r="16" ht="22" customHeight="1">
      <c r="B16" s="3" t="inlineStr">
        <is>
          <t xml:space="preserve">  Sheet Navigation</t>
        </is>
      </c>
    </row>
    <row r="17" ht="20" customHeight="1">
      <c r="B17" s="6" t="inlineStr">
        <is>
          <t>Assumptions</t>
        </is>
      </c>
      <c r="C17" s="5" t="inlineStr">
        <is>
          <t>All input drivers for Bear / Base / Bull scenarios</t>
        </is>
      </c>
    </row>
    <row r="18" ht="20" customHeight="1">
      <c r="B18" s="6" t="inlineStr">
        <is>
          <t>Bear_Case</t>
        </is>
      </c>
      <c r="C18" s="5" t="inlineStr">
        <is>
          <t>Full DCF: P&amp;L → FCF → WACC → Enterprise/Equity Value</t>
        </is>
      </c>
    </row>
    <row r="19" ht="20" customHeight="1">
      <c r="B19" s="6" t="inlineStr">
        <is>
          <t>Base_Case</t>
        </is>
      </c>
      <c r="C19" s="5" t="inlineStr">
        <is>
          <t>Full DCF (Base case: 25% revenue CAGR)</t>
        </is>
      </c>
    </row>
    <row r="20" ht="20" customHeight="1">
      <c r="B20" s="6" t="inlineStr">
        <is>
          <t>Bull_Case</t>
        </is>
      </c>
      <c r="C20" s="5" t="inlineStr">
        <is>
          <t>Full DCF (Bull case: 40% revenue CAGR)</t>
        </is>
      </c>
    </row>
    <row r="21" ht="20" customHeight="1">
      <c r="B21" s="6" t="inlineStr">
        <is>
          <t>Scenario_Summary</t>
        </is>
      </c>
      <c r="C21" s="5" t="inlineStr">
        <is>
          <t>Side-by-side comparison of three scenarios</t>
        </is>
      </c>
    </row>
    <row r="22" ht="20" customHeight="1">
      <c r="B22" s="6" t="inlineStr">
        <is>
          <t>WACC_Sensitivity</t>
        </is>
      </c>
      <c r="C22" s="5" t="inlineStr">
        <is>
          <t>Two-way data table: WACC × Terminal Growth Rate</t>
        </is>
      </c>
    </row>
    <row r="23" ht="20" customHeight="1">
      <c r="B23" s="6" t="inlineStr">
        <is>
          <t>TV_Sensitivity</t>
        </is>
      </c>
      <c r="C23" s="5" t="inlineStr">
        <is>
          <t>Two-way data table: Exit EV/EBITDA × WACC</t>
        </is>
      </c>
    </row>
    <row r="25" ht="22" customHeight="1">
      <c r="B25" s="3" t="inlineStr">
        <is>
          <t xml:space="preserve">  Color Legend (IB Convention)</t>
        </is>
      </c>
    </row>
    <row r="26">
      <c r="B26" s="7" t="inlineStr">
        <is>
          <t>Hard-coded input</t>
        </is>
      </c>
    </row>
    <row r="27">
      <c r="B27" s="8" t="inlineStr">
        <is>
          <t>Formula (same sheet)</t>
        </is>
      </c>
    </row>
    <row r="28">
      <c r="B28" s="9" t="inlineStr">
        <is>
          <t>Cross-sheet link</t>
        </is>
      </c>
    </row>
    <row r="29">
      <c r="B29" s="10" t="inlineStr">
        <is>
          <t>Key assumption</t>
        </is>
      </c>
    </row>
    <row r="31" ht="40" customHeight="1">
      <c r="B31" s="11" t="inlineStr">
        <is>
          <t>Disclaimer: This model is for educational and illustrative purposes only. Base-year figures are hypothetical (NVIDIA-like profile) and do not constitute investment advice. All projections are subject to significant uncertainty.</t>
        </is>
      </c>
    </row>
  </sheetData>
  <mergeCells count="25">
    <mergeCell ref="C10:H10"/>
    <mergeCell ref="C22:H22"/>
    <mergeCell ref="C9:H9"/>
    <mergeCell ref="B6:H6"/>
    <mergeCell ref="C12:H12"/>
    <mergeCell ref="B29:D29"/>
    <mergeCell ref="C21:H21"/>
    <mergeCell ref="C11:H11"/>
    <mergeCell ref="B28:D28"/>
    <mergeCell ref="B4:H4"/>
    <mergeCell ref="C23:H23"/>
    <mergeCell ref="C8:H8"/>
    <mergeCell ref="B16:H16"/>
    <mergeCell ref="C17:H17"/>
    <mergeCell ref="B25:H25"/>
    <mergeCell ref="C7:H7"/>
    <mergeCell ref="B31:H31"/>
    <mergeCell ref="C19:H19"/>
    <mergeCell ref="C13:H13"/>
    <mergeCell ref="B26:D26"/>
    <mergeCell ref="B2:H2"/>
    <mergeCell ref="C18:H18"/>
    <mergeCell ref="C14:H14"/>
    <mergeCell ref="B27:D27"/>
    <mergeCell ref="C20:H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G38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40" customWidth="1" min="7" max="7"/>
  </cols>
  <sheetData>
    <row r="1" ht="8" customHeight="1"/>
    <row r="2" ht="30" customHeight="1">
      <c r="B2" s="1" t="inlineStr">
        <is>
          <t>Assumptions — Bear / Base / Bull</t>
        </is>
      </c>
    </row>
    <row r="3" ht="6" customHeight="1"/>
    <row r="4" ht="24" customHeight="1">
      <c r="B4" s="12" t="inlineStr">
        <is>
          <t>Driver</t>
        </is>
      </c>
      <c r="C4" s="12" t="inlineStr">
        <is>
          <t>Bear</t>
        </is>
      </c>
      <c r="D4" s="12" t="inlineStr">
        <is>
          <t>Base</t>
        </is>
      </c>
      <c r="E4" s="12" t="inlineStr">
        <is>
          <t>Bull</t>
        </is>
      </c>
      <c r="F4" s="12" t="inlineStr">
        <is>
          <t>Unit</t>
        </is>
      </c>
      <c r="G4" s="12" t="inlineStr">
        <is>
          <t>Notes</t>
        </is>
      </c>
    </row>
    <row r="5" ht="42" customHeight="1">
      <c r="B5" s="13" t="inlineStr">
        <is>
          <t>Scenario description</t>
        </is>
      </c>
      <c r="C5" s="14" t="inlineStr">
        <is>
          <t>AI capex slowdown, hyperscaler digestion, China export restrictions bite</t>
        </is>
      </c>
      <c r="D5" s="15" t="inlineStr">
        <is>
          <t>Sustained AI demand, broad enterprise adoption, stable competitive moat</t>
        </is>
      </c>
      <c r="E5" s="16" t="inlineStr">
        <is>
          <t>AI supercycle, AGI inflection, monopoly-like pricing power</t>
        </is>
      </c>
      <c r="F5" s="17" t="inlineStr">
        <is>
          <t>—</t>
        </is>
      </c>
      <c r="G5" s="18" t="inlineStr"/>
    </row>
    <row r="7" ht="22" customHeight="1">
      <c r="B7" s="3" t="inlineStr">
        <is>
          <t xml:space="preserve">  Revenue Drivers</t>
        </is>
      </c>
    </row>
    <row r="8">
      <c r="B8" s="19" t="inlineStr">
        <is>
          <t>Base year revenue (FY2024A)</t>
        </is>
      </c>
      <c r="C8" s="20" t="n">
        <v>60900</v>
      </c>
      <c r="D8" s="20" t="n">
        <v>60900</v>
      </c>
      <c r="E8" s="20" t="n">
        <v>60900</v>
      </c>
      <c r="F8" s="21" t="inlineStr">
        <is>
          <t>$M</t>
        </is>
      </c>
      <c r="G8" s="21" t="inlineStr">
        <is>
          <t>Hypothetical; NVIDIA-like profile</t>
        </is>
      </c>
    </row>
    <row r="9">
      <c r="B9" s="22" t="inlineStr">
        <is>
          <t>5-year revenue CAGR</t>
        </is>
      </c>
      <c r="C9" s="23" t="n">
        <v>0.12</v>
      </c>
      <c r="D9" s="24" t="n">
        <v>0.25</v>
      </c>
      <c r="E9" s="23" t="n">
        <v>0.4</v>
      </c>
      <c r="F9" s="21" t="inlineStr">
        <is>
          <t>%</t>
        </is>
      </c>
      <c r="G9" s="21" t="inlineStr">
        <is>
          <t>Base = 25% per user requirement</t>
        </is>
      </c>
    </row>
    <row r="10">
      <c r="B10" s="19" t="inlineStr">
        <is>
          <t>Terminal revenue growth (g)</t>
        </is>
      </c>
      <c r="C10" s="23" t="n">
        <v>0.025</v>
      </c>
      <c r="D10" s="23" t="n">
        <v>0.03</v>
      </c>
      <c r="E10" s="23" t="n">
        <v>0.035</v>
      </c>
      <c r="F10" s="21" t="inlineStr">
        <is>
          <t>%</t>
        </is>
      </c>
      <c r="G10" s="21" t="inlineStr">
        <is>
          <t>Perpetuity growth, kept below long-run GDP</t>
        </is>
      </c>
    </row>
    <row r="12" ht="22" customHeight="1">
      <c r="B12" s="3" t="inlineStr">
        <is>
          <t xml:space="preserve">  Margin &amp; Cost Drivers</t>
        </is>
      </c>
    </row>
    <row r="13">
      <c r="B13" s="19" t="inlineStr">
        <is>
          <t>Gross margin — Year 1</t>
        </is>
      </c>
      <c r="C13" s="23" t="n">
        <v>0.58</v>
      </c>
      <c r="D13" s="23" t="n">
        <v>0.68</v>
      </c>
      <c r="E13" s="23" t="n">
        <v>0.74</v>
      </c>
      <c r="F13" s="21" t="inlineStr">
        <is>
          <t>%;(%);"-"</t>
        </is>
      </c>
      <c r="G13" s="21" t="inlineStr"/>
    </row>
    <row r="14">
      <c r="B14" s="19" t="inlineStr">
        <is>
          <t>Gross margin — Year 5</t>
        </is>
      </c>
      <c r="C14" s="23" t="n">
        <v>0.62</v>
      </c>
      <c r="D14" s="23" t="n">
        <v>0.72</v>
      </c>
      <c r="E14" s="23" t="n">
        <v>0.78</v>
      </c>
      <c r="F14" s="21" t="inlineStr">
        <is>
          <t>%;(%);"-"</t>
        </is>
      </c>
      <c r="G14" s="21" t="inlineStr"/>
    </row>
    <row r="15">
      <c r="B15" s="19" t="inlineStr">
        <is>
          <t>OpEx % of revenue — Year 1</t>
        </is>
      </c>
      <c r="C15" s="23" t="n">
        <v>0.22</v>
      </c>
      <c r="D15" s="23" t="n">
        <v>0.18</v>
      </c>
      <c r="E15" s="23" t="n">
        <v>0.15</v>
      </c>
      <c r="F15" s="21" t="inlineStr">
        <is>
          <t>%;(%);"-"</t>
        </is>
      </c>
      <c r="G15" s="21" t="inlineStr"/>
    </row>
    <row r="16">
      <c r="B16" s="19" t="inlineStr">
        <is>
          <t>OpEx % of revenue — Year 5</t>
        </is>
      </c>
      <c r="C16" s="23" t="n">
        <v>0.18</v>
      </c>
      <c r="D16" s="23" t="n">
        <v>0.14</v>
      </c>
      <c r="E16" s="23" t="n">
        <v>0.11</v>
      </c>
      <c r="F16" s="21" t="inlineStr">
        <is>
          <t>%;(%);"-"</t>
        </is>
      </c>
      <c r="G16" s="21" t="inlineStr"/>
    </row>
    <row r="17">
      <c r="B17" s="19" t="inlineStr">
        <is>
          <t>CapEx % of revenue</t>
        </is>
      </c>
      <c r="C17" s="23" t="n">
        <v>0.07000000000000001</v>
      </c>
      <c r="D17" s="23" t="n">
        <v>0.06</v>
      </c>
      <c r="E17" s="23" t="n">
        <v>0.05</v>
      </c>
      <c r="F17" s="21" t="inlineStr">
        <is>
          <t>%;(%);"-"</t>
        </is>
      </c>
      <c r="G17" s="21" t="inlineStr"/>
    </row>
    <row r="18">
      <c r="B18" s="19" t="inlineStr">
        <is>
          <t>Δ NWC % of revenue</t>
        </is>
      </c>
      <c r="C18" s="23" t="n">
        <v>0.08</v>
      </c>
      <c r="D18" s="23" t="n">
        <v>0.06</v>
      </c>
      <c r="E18" s="23" t="n">
        <v>0.05</v>
      </c>
      <c r="F18" s="21" t="inlineStr">
        <is>
          <t>%;(%);"-"</t>
        </is>
      </c>
      <c r="G18" s="21" t="inlineStr"/>
    </row>
    <row r="19">
      <c r="B19" s="19" t="inlineStr">
        <is>
          <t>Effective tax rate</t>
        </is>
      </c>
      <c r="C19" s="23" t="n">
        <v>0.21</v>
      </c>
      <c r="D19" s="23" t="n">
        <v>0.21</v>
      </c>
      <c r="E19" s="23" t="n">
        <v>0.21</v>
      </c>
      <c r="F19" s="21" t="inlineStr">
        <is>
          <t>%;(%);"-"</t>
        </is>
      </c>
      <c r="G19" s="21" t="inlineStr"/>
    </row>
    <row r="21" ht="22" customHeight="1">
      <c r="B21" s="3" t="inlineStr">
        <is>
          <t xml:space="preserve">  WACC Components</t>
        </is>
      </c>
    </row>
    <row r="22">
      <c r="B22" s="19" t="inlineStr">
        <is>
          <t>Risk-free rate (10Y UST)</t>
        </is>
      </c>
      <c r="C22" s="23" t="n">
        <v>0.045</v>
      </c>
      <c r="D22" s="23" t="n">
        <v>0.042</v>
      </c>
      <c r="E22" s="23" t="n">
        <v>0.04</v>
      </c>
      <c r="F22" s="21" t="inlineStr">
        <is>
          <t>%</t>
        </is>
      </c>
      <c r="G22" s="21" t="inlineStr">
        <is>
          <t>10-yr US Treasury yield</t>
        </is>
      </c>
    </row>
    <row r="23">
      <c r="B23" s="19" t="inlineStr">
        <is>
          <t>Equity risk premium</t>
        </is>
      </c>
      <c r="C23" s="23" t="n">
        <v>0.06</v>
      </c>
      <c r="D23" s="23" t="n">
        <v>0.055</v>
      </c>
      <c r="E23" s="23" t="n">
        <v>0.05</v>
      </c>
      <c r="F23" s="21" t="inlineStr">
        <is>
          <t>%</t>
        </is>
      </c>
      <c r="G23" s="21" t="inlineStr">
        <is>
          <t>Damodaran implied ERP</t>
        </is>
      </c>
    </row>
    <row r="24">
      <c r="B24" s="19" t="inlineStr">
        <is>
          <t>Levered beta</t>
        </is>
      </c>
      <c r="C24" s="25" t="n">
        <v>1.55</v>
      </c>
      <c r="D24" s="25" t="n">
        <v>1.35</v>
      </c>
      <c r="E24" s="25" t="n">
        <v>1.15</v>
      </c>
      <c r="F24" s="21" t="inlineStr">
        <is>
          <t>x</t>
        </is>
      </c>
      <c r="G24" s="21" t="inlineStr">
        <is>
          <t>Semi industry beta, 2-yr weekly</t>
        </is>
      </c>
    </row>
    <row r="25">
      <c r="B25" s="19" t="inlineStr">
        <is>
          <t>Pre-tax cost of debt</t>
        </is>
      </c>
      <c r="C25" s="23" t="n">
        <v>0.055</v>
      </c>
      <c r="D25" s="23" t="n">
        <v>0.05</v>
      </c>
      <c r="E25" s="23" t="n">
        <v>0.045</v>
      </c>
      <c r="F25" s="21" t="inlineStr">
        <is>
          <t>%</t>
        </is>
      </c>
      <c r="G25" s="21" t="inlineStr">
        <is>
          <t>Investment-grade credit</t>
        </is>
      </c>
    </row>
    <row r="26">
      <c r="B26" s="19" t="inlineStr">
        <is>
          <t>Target D/(D+E)</t>
        </is>
      </c>
      <c r="C26" s="23" t="n">
        <v>0.1</v>
      </c>
      <c r="D26" s="23" t="n">
        <v>0.1</v>
      </c>
      <c r="E26" s="23" t="n">
        <v>0.1</v>
      </c>
      <c r="F26" s="21" t="inlineStr">
        <is>
          <t>%</t>
        </is>
      </c>
      <c r="G26" s="21" t="inlineStr">
        <is>
          <t>Modest leverage</t>
        </is>
      </c>
    </row>
    <row r="27">
      <c r="B27" s="19" t="inlineStr">
        <is>
          <t>Effective tax rate (for WACC)</t>
        </is>
      </c>
      <c r="C27" s="23" t="n">
        <v>0.21</v>
      </c>
      <c r="D27" s="23" t="n">
        <v>0.21</v>
      </c>
      <c r="E27" s="23" t="n">
        <v>0.21</v>
      </c>
      <c r="F27" s="21" t="inlineStr">
        <is>
          <t>%</t>
        </is>
      </c>
      <c r="G27" s="21" t="inlineStr">
        <is>
          <t>Same as operating tax</t>
        </is>
      </c>
    </row>
    <row r="28">
      <c r="B28" s="22" t="inlineStr">
        <is>
          <t>WACC (computed)</t>
        </is>
      </c>
      <c r="C28" s="26">
        <f>(1-C26)*(C22+C24*C23)+C26*C25*(1-C27)</f>
        <v/>
      </c>
      <c r="D28" s="26">
        <f>(1-D26)*(D22+D24*D23)+D26*D25*(1-D27)</f>
        <v/>
      </c>
      <c r="E28" s="26">
        <f>(1-E26)*(E22+E24*E23)+E26*E25*(1-E27)</f>
        <v/>
      </c>
      <c r="F28" s="21" t="inlineStr">
        <is>
          <t>%</t>
        </is>
      </c>
      <c r="G28" s="21" t="inlineStr">
        <is>
          <t>Weighted average cost of capital</t>
        </is>
      </c>
    </row>
    <row r="30" ht="22" customHeight="1">
      <c r="B30" s="3" t="inlineStr">
        <is>
          <t xml:space="preserve">  Terminal Value Inputs</t>
        </is>
      </c>
    </row>
    <row r="31">
      <c r="B31" s="19" t="inlineStr">
        <is>
          <t>Terminal growth rate (g)</t>
        </is>
      </c>
      <c r="C31" s="23" t="n">
        <v>0.025</v>
      </c>
      <c r="D31" s="23" t="n">
        <v>0.03</v>
      </c>
      <c r="E31" s="23" t="n">
        <v>0.035</v>
      </c>
      <c r="F31" s="21" t="inlineStr"/>
      <c r="G31" s="21" t="inlineStr">
        <is>
          <t>Perpetuity growth</t>
        </is>
      </c>
    </row>
    <row r="32">
      <c r="B32" s="19" t="inlineStr">
        <is>
          <t>Exit EV/EBITDA multiple</t>
        </is>
      </c>
      <c r="C32" s="25" t="n">
        <v>16</v>
      </c>
      <c r="D32" s="25" t="n">
        <v>20</v>
      </c>
      <c r="E32" s="25" t="n">
        <v>25</v>
      </c>
      <c r="F32" s="21" t="inlineStr"/>
      <c r="G32" s="21" t="inlineStr">
        <is>
          <t>Cross-check method</t>
        </is>
      </c>
    </row>
    <row r="34" ht="22" customHeight="1">
      <c r="B34" s="3" t="inlineStr">
        <is>
          <t xml:space="preserve">  Capital Structure &amp; Share Count</t>
        </is>
      </c>
    </row>
    <row r="35">
      <c r="B35" s="19" t="inlineStr">
        <is>
          <t>Total debt (FY2024A)</t>
        </is>
      </c>
      <c r="C35" s="20" t="n">
        <v>8500</v>
      </c>
      <c r="D35" s="20" t="n">
        <v>8500</v>
      </c>
      <c r="E35" s="20" t="n">
        <v>8500</v>
      </c>
      <c r="F35" s="21" t="inlineStr">
        <is>
          <t>$M</t>
        </is>
      </c>
      <c r="G35" s="21" t="inlineStr"/>
    </row>
    <row r="36">
      <c r="B36" s="19" t="inlineStr">
        <is>
          <t>Cash &amp; equivalents (FY2024A)</t>
        </is>
      </c>
      <c r="C36" s="20" t="n">
        <v>26000</v>
      </c>
      <c r="D36" s="20" t="n">
        <v>26000</v>
      </c>
      <c r="E36" s="20" t="n">
        <v>26000</v>
      </c>
      <c r="F36" s="21" t="inlineStr">
        <is>
          <t>$M</t>
        </is>
      </c>
      <c r="G36" s="21" t="inlineStr"/>
    </row>
    <row r="37">
      <c r="B37" s="19" t="inlineStr">
        <is>
          <t>Shares outstanding</t>
        </is>
      </c>
      <c r="C37" s="27" t="n">
        <v>24600</v>
      </c>
      <c r="D37" s="27" t="n">
        <v>24600</v>
      </c>
      <c r="E37" s="27" t="n">
        <v>24600</v>
      </c>
      <c r="F37" s="21" t="inlineStr">
        <is>
          <t>M shares</t>
        </is>
      </c>
      <c r="G37" s="21" t="inlineStr"/>
    </row>
    <row r="38">
      <c r="B38" s="19" t="inlineStr">
        <is>
          <t>Current share price (illustrative)</t>
        </is>
      </c>
      <c r="C38" s="28" t="n">
        <v>135</v>
      </c>
      <c r="D38" s="28" t="n">
        <v>135</v>
      </c>
      <c r="E38" s="28" t="n">
        <v>135</v>
      </c>
      <c r="F38" s="21" t="inlineStr">
        <is>
          <t>$/share</t>
        </is>
      </c>
      <c r="G38" s="21" t="inlineStr"/>
    </row>
  </sheetData>
  <mergeCells count="6">
    <mergeCell ref="B2:G2"/>
    <mergeCell ref="B34:G34"/>
    <mergeCell ref="B30:G30"/>
    <mergeCell ref="B12:G12"/>
    <mergeCell ref="B21:G21"/>
    <mergeCell ref="B7:G7"/>
  </mergeCell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K6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5" customWidth="1" min="1" max="1"/>
    <col width="3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 ht="8" customHeight="1"/>
    <row r="2" ht="30" customHeight="1">
      <c r="B2" s="1" t="inlineStr">
        <is>
          <t>Bear Case — DCF Valuation</t>
        </is>
      </c>
    </row>
    <row r="3" ht="6" customHeight="1">
      <c r="B3" s="29" t="inlineStr">
        <is>
          <t>Scenario: Bear  |  5-yr CAGR: 12%  |  WACC: 11.5%  |  AI capex slowdown, hyperscaler digestion, China export restrictions bite</t>
        </is>
      </c>
    </row>
    <row r="4" ht="24" customHeight="1">
      <c r="C4" s="12" t="inlineStr">
        <is>
          <t>FY2024A</t>
        </is>
      </c>
      <c r="D4" s="12" t="inlineStr">
        <is>
          <t>FY2025E</t>
        </is>
      </c>
      <c r="E4" s="12" t="inlineStr">
        <is>
          <t>FY2026E</t>
        </is>
      </c>
      <c r="F4" s="12" t="inlineStr">
        <is>
          <t>FY2027E</t>
        </is>
      </c>
      <c r="G4" s="12" t="inlineStr">
        <is>
          <t>FY2028E</t>
        </is>
      </c>
      <c r="H4" s="12" t="inlineStr">
        <is>
          <t>FY2029E</t>
        </is>
      </c>
      <c r="I4" s="12" t="inlineStr">
        <is>
          <t>FY2030E</t>
        </is>
      </c>
    </row>
    <row r="6" ht="22" customHeight="1">
      <c r="B6" s="3" t="inlineStr">
        <is>
          <t xml:space="preserve">  1. Revenue Build</t>
        </is>
      </c>
    </row>
    <row r="7">
      <c r="B7" s="13" t="inlineStr">
        <is>
          <t>Revenue ($M)</t>
        </is>
      </c>
      <c r="C7" s="30">
        <f>Assumptions!C8</f>
        <v/>
      </c>
      <c r="D7" s="30">
        <f>C7*(1+Assumptions!$C$9)</f>
        <v/>
      </c>
      <c r="E7" s="30">
        <f>D7*(1+Assumptions!$C$9)</f>
        <v/>
      </c>
      <c r="F7" s="30">
        <f>E7*(1+Assumptions!$C$9)</f>
        <v/>
      </c>
      <c r="G7" s="30">
        <f>F7*(1+Assumptions!$C$9)</f>
        <v/>
      </c>
      <c r="H7" s="30">
        <f>G7*(1+Assumptions!$C$9)</f>
        <v/>
      </c>
      <c r="I7" s="30">
        <f>H7*(1+Assumptions!C10)</f>
        <v/>
      </c>
    </row>
    <row r="8">
      <c r="B8" s="19" t="inlineStr">
        <is>
          <t xml:space="preserve">  YoY growth</t>
        </is>
      </c>
      <c r="C8" s="31" t="inlineStr">
        <is>
          <t>—</t>
        </is>
      </c>
      <c r="D8" s="32">
        <f>IFERROR(D7/C7-1,0)</f>
        <v/>
      </c>
      <c r="E8" s="32">
        <f>IFERROR(E7/D7-1,0)</f>
        <v/>
      </c>
      <c r="F8" s="32">
        <f>IFERROR(F7/E7-1,0)</f>
        <v/>
      </c>
      <c r="G8" s="32">
        <f>IFERROR(G7/F7-1,0)</f>
        <v/>
      </c>
      <c r="H8" s="32">
        <f>IFERROR(H7/G7-1,0)</f>
        <v/>
      </c>
      <c r="I8" s="32">
        <f>IFERROR(I7/H7-1,0)</f>
        <v/>
      </c>
    </row>
    <row r="10" ht="22" customHeight="1">
      <c r="B10" s="3" t="inlineStr">
        <is>
          <t xml:space="preserve">  2. Income Statement</t>
        </is>
      </c>
    </row>
    <row r="11">
      <c r="B11" s="13" t="inlineStr">
        <is>
          <t>Gross profit ($M)</t>
        </is>
      </c>
      <c r="C11" s="30" t="n">
        <v>44300</v>
      </c>
      <c r="D11" s="30">
        <f>D7*(Assumptions!$C$13+(Assumptions!$C$14-Assumptions!$C$13)*0.0)</f>
        <v/>
      </c>
      <c r="E11" s="30">
        <f>E7*(Assumptions!$C$13+(Assumptions!$C$14-Assumptions!$C$13)*0.25)</f>
        <v/>
      </c>
      <c r="F11" s="30">
        <f>F7*(Assumptions!$C$13+(Assumptions!$C$14-Assumptions!$C$13)*0.5)</f>
        <v/>
      </c>
      <c r="G11" s="30">
        <f>G7*(Assumptions!$C$13+(Assumptions!$C$14-Assumptions!$C$13)*0.75)</f>
        <v/>
      </c>
      <c r="H11" s="30">
        <f>H7*(Assumptions!$C$13+(Assumptions!$C$14-Assumptions!$C$13)*1.0)</f>
        <v/>
      </c>
      <c r="I11" s="30">
        <f>I7*Assumptions!$C$14</f>
        <v/>
      </c>
    </row>
    <row r="12">
      <c r="B12" s="19" t="inlineStr">
        <is>
          <t xml:space="preserve">  Gross margin %</t>
        </is>
      </c>
      <c r="C12" s="32">
        <f>IFERROR(C11/C7,0)</f>
        <v/>
      </c>
      <c r="D12" s="32">
        <f>IFERROR(D11/D7,0)</f>
        <v/>
      </c>
      <c r="E12" s="32">
        <f>IFERROR(E11/E7,0)</f>
        <v/>
      </c>
      <c r="F12" s="32">
        <f>IFERROR(F11/F7,0)</f>
        <v/>
      </c>
      <c r="G12" s="32">
        <f>IFERROR(G11/G7,0)</f>
        <v/>
      </c>
      <c r="H12" s="32">
        <f>IFERROR(H11/H7,0)</f>
        <v/>
      </c>
      <c r="I12" s="32">
        <f>IFERROR(I11/I7,0)</f>
        <v/>
      </c>
    </row>
    <row r="13">
      <c r="B13" s="33" t="inlineStr">
        <is>
          <t>Operating expenses ($M)</t>
        </is>
      </c>
      <c r="C13" s="20" t="n">
        <v>11600</v>
      </c>
      <c r="D13" s="34">
        <f>D7*(Assumptions!$C$15+(Assumptions!$C$16-Assumptions!$C$15)*0.0)</f>
        <v/>
      </c>
      <c r="E13" s="34">
        <f>E7*(Assumptions!$C$15+(Assumptions!$C$16-Assumptions!$C$15)*0.25)</f>
        <v/>
      </c>
      <c r="F13" s="34">
        <f>F7*(Assumptions!$C$15+(Assumptions!$C$16-Assumptions!$C$15)*0.5)</f>
        <v/>
      </c>
      <c r="G13" s="34">
        <f>G7*(Assumptions!$C$15+(Assumptions!$C$16-Assumptions!$C$15)*0.75)</f>
        <v/>
      </c>
      <c r="H13" s="34">
        <f>H7*(Assumptions!$C$15+(Assumptions!$C$16-Assumptions!$C$15)*1.0)</f>
        <v/>
      </c>
      <c r="I13" s="34">
        <f>I7*Assumptions!$C$16</f>
        <v/>
      </c>
    </row>
    <row r="14">
      <c r="B14" s="13" t="inlineStr">
        <is>
          <t>EBITDA ($M)</t>
        </is>
      </c>
      <c r="C14" s="30">
        <f>C11-C13</f>
        <v/>
      </c>
      <c r="D14" s="30">
        <f>D11-D13</f>
        <v/>
      </c>
      <c r="E14" s="30">
        <f>E11-E13</f>
        <v/>
      </c>
      <c r="F14" s="30">
        <f>F11-F13</f>
        <v/>
      </c>
      <c r="G14" s="30">
        <f>G11-G13</f>
        <v/>
      </c>
      <c r="H14" s="30">
        <f>H11-H13</f>
        <v/>
      </c>
      <c r="I14" s="30">
        <f>I11-I13</f>
        <v/>
      </c>
    </row>
    <row r="15">
      <c r="B15" s="19" t="inlineStr">
        <is>
          <t xml:space="preserve">  EBITDA margin %</t>
        </is>
      </c>
      <c r="C15" s="32">
        <f>IFERROR(C14/C7,0)</f>
        <v/>
      </c>
      <c r="D15" s="32">
        <f>IFERROR(D14/D7,0)</f>
        <v/>
      </c>
      <c r="E15" s="32">
        <f>IFERROR(E14/E7,0)</f>
        <v/>
      </c>
      <c r="F15" s="32">
        <f>IFERROR(F14/F7,0)</f>
        <v/>
      </c>
      <c r="G15" s="32">
        <f>IFERROR(G14/G7,0)</f>
        <v/>
      </c>
      <c r="H15" s="32">
        <f>IFERROR(H14/H7,0)</f>
        <v/>
      </c>
      <c r="I15" s="32">
        <f>IFERROR(I14/I7,0)</f>
        <v/>
      </c>
    </row>
    <row r="16">
      <c r="B16" s="33" t="inlineStr">
        <is>
          <t>Depreciation &amp; amortization ($M)</t>
        </is>
      </c>
      <c r="C16" s="20" t="n">
        <v>2800</v>
      </c>
      <c r="D16" s="34">
        <f>D7*0.045</f>
        <v/>
      </c>
      <c r="E16" s="34">
        <f>E7*0.045</f>
        <v/>
      </c>
      <c r="F16" s="34">
        <f>F7*0.045</f>
        <v/>
      </c>
      <c r="G16" s="34">
        <f>G7*0.045</f>
        <v/>
      </c>
      <c r="H16" s="34">
        <f>H7*0.045</f>
        <v/>
      </c>
      <c r="I16" s="34">
        <f>I7*0.045</f>
        <v/>
      </c>
    </row>
    <row r="17">
      <c r="B17" s="13" t="inlineStr">
        <is>
          <t>EBIT ($M)</t>
        </is>
      </c>
      <c r="C17" s="30">
        <f>C14-C16</f>
        <v/>
      </c>
      <c r="D17" s="30">
        <f>D14-D16</f>
        <v/>
      </c>
      <c r="E17" s="30">
        <f>E14-E16</f>
        <v/>
      </c>
      <c r="F17" s="30">
        <f>F14-F16</f>
        <v/>
      </c>
      <c r="G17" s="30">
        <f>G14-G16</f>
        <v/>
      </c>
      <c r="H17" s="30">
        <f>H14-H16</f>
        <v/>
      </c>
      <c r="I17" s="30">
        <f>I14-I16</f>
        <v/>
      </c>
    </row>
    <row r="18">
      <c r="B18" s="19" t="inlineStr">
        <is>
          <t xml:space="preserve">  EBIT margin %</t>
        </is>
      </c>
      <c r="C18" s="32">
        <f>IFERROR(C17/C7,0)</f>
        <v/>
      </c>
      <c r="D18" s="32">
        <f>IFERROR(D17/D7,0)</f>
        <v/>
      </c>
      <c r="E18" s="32">
        <f>IFERROR(E17/E7,0)</f>
        <v/>
      </c>
      <c r="F18" s="32">
        <f>IFERROR(F17/F7,0)</f>
        <v/>
      </c>
      <c r="G18" s="32">
        <f>IFERROR(G17/G7,0)</f>
        <v/>
      </c>
      <c r="H18" s="32">
        <f>IFERROR(H17/H7,0)</f>
        <v/>
      </c>
      <c r="I18" s="32">
        <f>IFERROR(I17/I7,0)</f>
        <v/>
      </c>
    </row>
    <row r="19">
      <c r="B19" s="33" t="inlineStr">
        <is>
          <t>Taxes ($M)</t>
        </is>
      </c>
      <c r="C19" s="20" t="n">
        <v>6300</v>
      </c>
      <c r="D19" s="34">
        <f>MAX(0,D17)*Assumptions!$C$19</f>
        <v/>
      </c>
      <c r="E19" s="34">
        <f>MAX(0,E17)*Assumptions!$C$19</f>
        <v/>
      </c>
      <c r="F19" s="34">
        <f>MAX(0,F17)*Assumptions!$C$19</f>
        <v/>
      </c>
      <c r="G19" s="34">
        <f>MAX(0,G17)*Assumptions!$C$19</f>
        <v/>
      </c>
      <c r="H19" s="34">
        <f>MAX(0,H17)*Assumptions!$C$19</f>
        <v/>
      </c>
      <c r="I19" s="34">
        <f>MAX(0,I17)*Assumptions!$C$19</f>
        <v/>
      </c>
    </row>
    <row r="20">
      <c r="B20" s="13" t="inlineStr">
        <is>
          <t>NOPAT ($M)</t>
        </is>
      </c>
      <c r="C20" s="30">
        <f>C17-C19</f>
        <v/>
      </c>
      <c r="D20" s="30">
        <f>D17-D19</f>
        <v/>
      </c>
      <c r="E20" s="30">
        <f>E17-E19</f>
        <v/>
      </c>
      <c r="F20" s="30">
        <f>F17-F19</f>
        <v/>
      </c>
      <c r="G20" s="30">
        <f>G17-G19</f>
        <v/>
      </c>
      <c r="H20" s="30">
        <f>H17-H19</f>
        <v/>
      </c>
      <c r="I20" s="30">
        <f>I17-I19</f>
        <v/>
      </c>
    </row>
    <row r="22" ht="22" customHeight="1">
      <c r="B22" s="3" t="inlineStr">
        <is>
          <t xml:space="preserve">  3. Unlevered Free Cash Flow Build</t>
        </is>
      </c>
    </row>
    <row r="23">
      <c r="B23" s="33" t="inlineStr">
        <is>
          <t>NOPAT ($M)</t>
        </is>
      </c>
      <c r="C23" s="35">
        <f>C20</f>
        <v/>
      </c>
      <c r="D23" s="35">
        <f>D20</f>
        <v/>
      </c>
      <c r="E23" s="35">
        <f>E20</f>
        <v/>
      </c>
      <c r="F23" s="35">
        <f>F20</f>
        <v/>
      </c>
      <c r="G23" s="35">
        <f>G20</f>
        <v/>
      </c>
      <c r="H23" s="35">
        <f>H20</f>
        <v/>
      </c>
      <c r="I23" s="35">
        <f>I20</f>
        <v/>
      </c>
    </row>
    <row r="24">
      <c r="B24" s="33" t="inlineStr">
        <is>
          <t>(+) D&amp;A</t>
        </is>
      </c>
      <c r="C24" s="35">
        <f>C16</f>
        <v/>
      </c>
      <c r="D24" s="35">
        <f>D16</f>
        <v/>
      </c>
      <c r="E24" s="35">
        <f>E16</f>
        <v/>
      </c>
      <c r="F24" s="35">
        <f>F16</f>
        <v/>
      </c>
      <c r="G24" s="35">
        <f>G16</f>
        <v/>
      </c>
      <c r="H24" s="35">
        <f>H16</f>
        <v/>
      </c>
      <c r="I24" s="35">
        <f>I16</f>
        <v/>
      </c>
    </row>
    <row r="25">
      <c r="B25" s="33" t="inlineStr">
        <is>
          <t>(–) Capital expenditures</t>
        </is>
      </c>
      <c r="C25" s="20" t="n">
        <v>3200</v>
      </c>
      <c r="D25" s="34">
        <f>D7*Assumptions!$C$17</f>
        <v/>
      </c>
      <c r="E25" s="34">
        <f>E7*Assumptions!$C$17</f>
        <v/>
      </c>
      <c r="F25" s="34">
        <f>F7*Assumptions!$C$17</f>
        <v/>
      </c>
      <c r="G25" s="34">
        <f>G7*Assumptions!$C$17</f>
        <v/>
      </c>
      <c r="H25" s="34">
        <f>H7*Assumptions!$C$17</f>
        <v/>
      </c>
      <c r="I25" s="34">
        <f>I7*Assumptions!$C$17</f>
        <v/>
      </c>
    </row>
    <row r="26">
      <c r="B26" s="33" t="inlineStr">
        <is>
          <t>(–) Δ Net working capital</t>
        </is>
      </c>
      <c r="C26" s="20" t="n">
        <v>0</v>
      </c>
      <c r="D26" s="34">
        <f>(D7-C7)*Assumptions!$C$18</f>
        <v/>
      </c>
      <c r="E26" s="34">
        <f>(E7-D7)*Assumptions!$C$18</f>
        <v/>
      </c>
      <c r="F26" s="34">
        <f>(F7-E7)*Assumptions!$C$18</f>
        <v/>
      </c>
      <c r="G26" s="34">
        <f>(G7-F7)*Assumptions!$C$18</f>
        <v/>
      </c>
      <c r="H26" s="34">
        <f>(H7-G7)*Assumptions!$C$18</f>
        <v/>
      </c>
      <c r="I26" s="34">
        <f>(I7-H7)*Assumptions!$C$18</f>
        <v/>
      </c>
    </row>
    <row r="27">
      <c r="B27" s="13" t="inlineStr">
        <is>
          <t>Unlevered Free Cash Flow ($M)</t>
        </is>
      </c>
      <c r="C27" s="30">
        <f>C23+C24-C25-C26</f>
        <v/>
      </c>
      <c r="D27" s="30">
        <f>D23+D24-D25-D26</f>
        <v/>
      </c>
      <c r="E27" s="30">
        <f>E23+E24-E25-E26</f>
        <v/>
      </c>
      <c r="F27" s="30">
        <f>F23+F24-F25-F26</f>
        <v/>
      </c>
      <c r="G27" s="30">
        <f>G23+G24-G25-G26</f>
        <v/>
      </c>
      <c r="H27" s="30">
        <f>H23+H24-H25-H26</f>
        <v/>
      </c>
      <c r="I27" s="30">
        <f>I23+I24-I25-I26</f>
        <v/>
      </c>
    </row>
    <row r="28">
      <c r="B28" s="19" t="inlineStr">
        <is>
          <t xml:space="preserve">  FCF margin %</t>
        </is>
      </c>
      <c r="C28" s="32">
        <f>IFERROR(C27/C7,0)</f>
        <v/>
      </c>
      <c r="D28" s="32">
        <f>IFERROR(D27/D7,0)</f>
        <v/>
      </c>
      <c r="E28" s="32">
        <f>IFERROR(E27/E7,0)</f>
        <v/>
      </c>
      <c r="F28" s="32">
        <f>IFERROR(F27/F7,0)</f>
        <v/>
      </c>
      <c r="G28" s="32">
        <f>IFERROR(G27/G7,0)</f>
        <v/>
      </c>
      <c r="H28" s="32">
        <f>IFERROR(H27/H7,0)</f>
        <v/>
      </c>
      <c r="I28" s="32">
        <f>IFERROR(I27/I7,0)</f>
        <v/>
      </c>
    </row>
    <row r="30" ht="22" customHeight="1">
      <c r="B30" s="3" t="inlineStr">
        <is>
          <t xml:space="preserve">  4. WACC &amp; Discounting</t>
        </is>
      </c>
    </row>
    <row r="31">
      <c r="B31" s="13" t="inlineStr">
        <is>
          <t>WACC</t>
        </is>
      </c>
      <c r="C31" s="31" t="inlineStr">
        <is>
          <t>—</t>
        </is>
      </c>
      <c r="D31" s="36">
        <f>Assumptions!$C$28</f>
        <v/>
      </c>
      <c r="E31" s="36">
        <f>Assumptions!$C$28</f>
        <v/>
      </c>
      <c r="F31" s="36">
        <f>Assumptions!$C$28</f>
        <v/>
      </c>
      <c r="G31" s="36">
        <f>Assumptions!$C$28</f>
        <v/>
      </c>
      <c r="H31" s="36">
        <f>Assumptions!$C$28</f>
        <v/>
      </c>
      <c r="I31" s="36">
        <f>Assumptions!$C$28</f>
        <v/>
      </c>
    </row>
    <row r="32">
      <c r="B32" s="33" t="inlineStr">
        <is>
          <t xml:space="preserve">  Discount period (yrs, mid-year)</t>
        </is>
      </c>
      <c r="C32" s="31" t="inlineStr">
        <is>
          <t>—</t>
        </is>
      </c>
      <c r="D32" s="37">
        <f>1-0.5</f>
        <v/>
      </c>
      <c r="E32" s="37">
        <f>2-0.5</f>
        <v/>
      </c>
      <c r="F32" s="37">
        <f>3-0.5</f>
        <v/>
      </c>
      <c r="G32" s="37">
        <f>4-0.5</f>
        <v/>
      </c>
      <c r="H32" s="37">
        <f>5-0.5</f>
        <v/>
      </c>
      <c r="I32" s="31" t="inlineStr">
        <is>
          <t>—</t>
        </is>
      </c>
    </row>
    <row r="33">
      <c r="B33" s="19" t="inlineStr">
        <is>
          <t xml:space="preserve">  Discount factor</t>
        </is>
      </c>
      <c r="D33" s="37">
        <f>1/(1+D31)^D32</f>
        <v/>
      </c>
      <c r="E33" s="37">
        <f>1/(1+E31)^E32</f>
        <v/>
      </c>
      <c r="F33" s="37">
        <f>1/(1+F31)^F32</f>
        <v/>
      </c>
      <c r="G33" s="37">
        <f>1/(1+G31)^G32</f>
        <v/>
      </c>
      <c r="H33" s="37">
        <f>1/(1+H31)^H32</f>
        <v/>
      </c>
    </row>
    <row r="34">
      <c r="B34" s="13" t="inlineStr">
        <is>
          <t>PV of unlevered FCF ($M)</t>
        </is>
      </c>
      <c r="C34" s="38" t="n"/>
      <c r="D34" s="30">
        <f>D27*D33</f>
        <v/>
      </c>
      <c r="E34" s="30">
        <f>E27*E33</f>
        <v/>
      </c>
      <c r="F34" s="30">
        <f>F27*F33</f>
        <v/>
      </c>
      <c r="G34" s="30">
        <f>G27*G33</f>
        <v/>
      </c>
      <c r="H34" s="30">
        <f>H27*H33</f>
        <v/>
      </c>
      <c r="I34" s="38" t="n"/>
    </row>
    <row r="35">
      <c r="B35" s="13" t="inlineStr">
        <is>
          <t>Sum PV of explicit FCF ($M)</t>
        </is>
      </c>
      <c r="C35" s="30">
        <f>SUM(D34:H34)</f>
        <v/>
      </c>
      <c r="D35" s="38" t="n"/>
      <c r="E35" s="38" t="n"/>
    </row>
    <row r="37" ht="22" customHeight="1">
      <c r="B37" s="3" t="inlineStr">
        <is>
          <t xml:space="preserve">  5. Terminal Value</t>
        </is>
      </c>
    </row>
    <row r="38">
      <c r="B38" s="33" t="inlineStr">
        <is>
          <t>Terminal Year EBITDA ($M)</t>
        </is>
      </c>
      <c r="C38" s="31" t="inlineStr">
        <is>
          <t>—</t>
        </is>
      </c>
      <c r="H38" s="35">
        <f>H14</f>
        <v/>
      </c>
    </row>
    <row r="39">
      <c r="B39" s="33" t="inlineStr">
        <is>
          <t>Terminal year FCF ($M)</t>
        </is>
      </c>
      <c r="C39" s="31" t="inlineStr">
        <is>
          <t>—</t>
        </is>
      </c>
      <c r="H39" s="35">
        <f>H27</f>
        <v/>
      </c>
    </row>
    <row r="40">
      <c r="B40" s="33" t="inlineStr">
        <is>
          <t>Terminal growth rate (g)</t>
        </is>
      </c>
      <c r="C40" s="31" t="inlineStr">
        <is>
          <t>—</t>
        </is>
      </c>
      <c r="H40" s="39">
        <f>Assumptions!C10</f>
        <v/>
      </c>
    </row>
    <row r="41">
      <c r="B41" s="19" t="inlineStr">
        <is>
          <t>WACC – g</t>
        </is>
      </c>
      <c r="C41" s="31" t="inlineStr">
        <is>
          <t>—</t>
        </is>
      </c>
      <c r="H41" s="32">
        <f>H31-H40</f>
        <v/>
      </c>
    </row>
    <row r="42">
      <c r="B42" s="13" t="inlineStr">
        <is>
          <t>Terminal Value (Gordon) ($M)</t>
        </is>
      </c>
      <c r="C42" s="38" t="n"/>
      <c r="D42" s="38" t="n"/>
      <c r="E42" s="38" t="n"/>
      <c r="F42" s="38" t="n"/>
      <c r="G42" s="38" t="n"/>
      <c r="H42" s="30">
        <f>H27*(1+H40)/(H31-H40)</f>
        <v/>
      </c>
    </row>
    <row r="43">
      <c r="B43" s="22" t="inlineStr">
        <is>
          <t xml:space="preserve">  PV of Terminal Value ($M)</t>
        </is>
      </c>
      <c r="H43" s="40">
        <f>H42*H33</f>
        <v/>
      </c>
    </row>
    <row r="45">
      <c r="B45" s="33" t="inlineStr">
        <is>
          <t>Exit EV/EBITDA multiple (x)</t>
        </is>
      </c>
      <c r="C45" s="31" t="inlineStr">
        <is>
          <t>—</t>
        </is>
      </c>
      <c r="H45" s="41">
        <f>Assumptions!C32</f>
        <v/>
      </c>
    </row>
    <row r="46">
      <c r="B46" s="33" t="inlineStr">
        <is>
          <t>Terminal Value (Exit Mult.) ($M)</t>
        </is>
      </c>
      <c r="H46" s="34">
        <f>H14*H45</f>
        <v/>
      </c>
    </row>
    <row r="47">
      <c r="B47" s="19" t="inlineStr">
        <is>
          <t xml:space="preserve">  PV of TV (Exit Mult.) ($M)</t>
        </is>
      </c>
      <c r="H47" s="34">
        <f>H46*H33</f>
        <v/>
      </c>
    </row>
    <row r="49" ht="22" customHeight="1">
      <c r="B49" s="3" t="inlineStr">
        <is>
          <t xml:space="preserve">  6. Enterprise &amp; Equity Value</t>
        </is>
      </c>
    </row>
    <row r="50">
      <c r="B50" s="33" t="inlineStr">
        <is>
          <t>Sum PV of explicit FCF ($M)</t>
        </is>
      </c>
      <c r="C50" s="42">
        <f>C35</f>
        <v/>
      </c>
    </row>
    <row r="51">
      <c r="B51" s="33" t="inlineStr">
        <is>
          <t>(+) PV of Terminal Value ($M)</t>
        </is>
      </c>
      <c r="C51" s="42">
        <f>H43</f>
        <v/>
      </c>
    </row>
    <row r="52">
      <c r="B52" s="13" t="inlineStr">
        <is>
          <t>Enterprise Value ($M)</t>
        </is>
      </c>
      <c r="C52" s="30">
        <f>C50+C51</f>
        <v/>
      </c>
      <c r="D52" s="38" t="n"/>
      <c r="E52" s="38" t="n"/>
    </row>
    <row r="53">
      <c r="B53" s="33" t="inlineStr">
        <is>
          <t>(–) Total debt ($M)</t>
        </is>
      </c>
      <c r="C53" s="35">
        <f>Assumptions!$C$35</f>
        <v/>
      </c>
    </row>
    <row r="54">
      <c r="B54" s="33" t="inlineStr">
        <is>
          <t>(+) Cash &amp; equivalents ($M)</t>
        </is>
      </c>
      <c r="C54" s="35">
        <f>Assumptions!$C$36</f>
        <v/>
      </c>
    </row>
    <row r="55">
      <c r="B55" s="13" t="inlineStr">
        <is>
          <t>Equity Value ($M)</t>
        </is>
      </c>
      <c r="C55" s="30">
        <f>C52-C53+C54</f>
        <v/>
      </c>
      <c r="D55" s="38" t="n"/>
      <c r="E55" s="38" t="n"/>
    </row>
    <row r="56">
      <c r="B56" s="33" t="inlineStr">
        <is>
          <t>(÷) Shares outstanding (M)</t>
        </is>
      </c>
      <c r="C56" s="43">
        <f>Assumptions!$C$37</f>
        <v/>
      </c>
    </row>
    <row r="57">
      <c r="B57" s="13" t="inlineStr">
        <is>
          <t>Implied share price ($)</t>
        </is>
      </c>
      <c r="C57" s="44">
        <f>IFERROR(C55/C56,0)</f>
        <v/>
      </c>
      <c r="D57" s="38" t="n"/>
      <c r="E57" s="38" t="n"/>
    </row>
    <row r="58">
      <c r="B58" s="33" t="inlineStr">
        <is>
          <t>Current share price ($)</t>
        </is>
      </c>
      <c r="C58" s="45">
        <f>Assumptions!$C$38</f>
        <v/>
      </c>
    </row>
    <row r="59">
      <c r="B59" s="13" t="inlineStr">
        <is>
          <t>Upside / (Downside) %</t>
        </is>
      </c>
      <c r="C59" s="46">
        <f>IFERROR(C57/C58-1,0)</f>
        <v/>
      </c>
    </row>
    <row r="61">
      <c r="B61" s="47" t="inlineStr">
        <is>
          <t>Cross-check: Exit Multiple method</t>
        </is>
      </c>
    </row>
    <row r="62">
      <c r="B62" s="33" t="inlineStr">
        <is>
          <t>EV (Exit Multiple method) ($M)</t>
        </is>
      </c>
      <c r="C62" s="34">
        <f>C50+H47</f>
        <v/>
      </c>
    </row>
    <row r="63">
      <c r="B63" s="33" t="inlineStr">
        <is>
          <t>Equity Value (Exit Mult.) ($M)</t>
        </is>
      </c>
      <c r="C63" s="34">
        <f>C62-C53+C54</f>
        <v/>
      </c>
    </row>
    <row r="64">
      <c r="B64" s="33" t="inlineStr">
        <is>
          <t>Implied price (Exit Mult.) ($)</t>
        </is>
      </c>
      <c r="C64" s="48">
        <f>IFERROR(C63/C56,0)</f>
        <v/>
      </c>
    </row>
    <row r="66" ht="36" customHeight="1">
      <c r="B66" s="11" t="inlineStr">
        <is>
          <t>Notes: Mid-year discounting convention applied to explicit forecast period. Terminal value computed via Gordon Growth (primary) and Exit EV/EBITDA (cross-check). All blue cells are inputs on the Assumptions sheet — modify there to update all scenarios.</t>
        </is>
      </c>
    </row>
  </sheetData>
  <mergeCells count="24">
    <mergeCell ref="C54:E54"/>
    <mergeCell ref="C50:E50"/>
    <mergeCell ref="C55:E55"/>
    <mergeCell ref="B22:I22"/>
    <mergeCell ref="C56:E56"/>
    <mergeCell ref="C59:E59"/>
    <mergeCell ref="C51:E51"/>
    <mergeCell ref="C52:E52"/>
    <mergeCell ref="B61:F61"/>
    <mergeCell ref="B3:K3"/>
    <mergeCell ref="B66:K66"/>
    <mergeCell ref="C57:E57"/>
    <mergeCell ref="C53:E53"/>
    <mergeCell ref="B10:I10"/>
    <mergeCell ref="B37:I37"/>
    <mergeCell ref="B2:K2"/>
    <mergeCell ref="B49:I49"/>
    <mergeCell ref="C62:E62"/>
    <mergeCell ref="C58:E58"/>
    <mergeCell ref="B30:I30"/>
    <mergeCell ref="B6:I6"/>
    <mergeCell ref="C64:E64"/>
    <mergeCell ref="C35:E35"/>
    <mergeCell ref="C63:E63"/>
  </mergeCells>
  <conditionalFormatting sqref="C59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K6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5" customWidth="1" min="1" max="1"/>
    <col width="3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 ht="8" customHeight="1"/>
    <row r="2" ht="30" customHeight="1">
      <c r="B2" s="1" t="inlineStr">
        <is>
          <t>Base Case — DCF Valuation</t>
        </is>
      </c>
    </row>
    <row r="3" ht="6" customHeight="1">
      <c r="B3" s="49" t="inlineStr">
        <is>
          <t>Scenario: Base  |  5-yr CAGR: 25%  |  WACC: 10.8%  |  Sustained AI demand, broad enterprise adoption, stable competitive moat</t>
        </is>
      </c>
    </row>
    <row r="4" ht="24" customHeight="1">
      <c r="C4" s="12" t="inlineStr">
        <is>
          <t>FY2024A</t>
        </is>
      </c>
      <c r="D4" s="12" t="inlineStr">
        <is>
          <t>FY2025E</t>
        </is>
      </c>
      <c r="E4" s="12" t="inlineStr">
        <is>
          <t>FY2026E</t>
        </is>
      </c>
      <c r="F4" s="12" t="inlineStr">
        <is>
          <t>FY2027E</t>
        </is>
      </c>
      <c r="G4" s="12" t="inlineStr">
        <is>
          <t>FY2028E</t>
        </is>
      </c>
      <c r="H4" s="12" t="inlineStr">
        <is>
          <t>FY2029E</t>
        </is>
      </c>
      <c r="I4" s="12" t="inlineStr">
        <is>
          <t>FY2030E</t>
        </is>
      </c>
    </row>
    <row r="6" ht="22" customHeight="1">
      <c r="B6" s="3" t="inlineStr">
        <is>
          <t xml:space="preserve">  1. Revenue Build</t>
        </is>
      </c>
    </row>
    <row r="7">
      <c r="B7" s="13" t="inlineStr">
        <is>
          <t>Revenue ($M)</t>
        </is>
      </c>
      <c r="C7" s="30">
        <f>Assumptions!D8</f>
        <v/>
      </c>
      <c r="D7" s="30">
        <f>C7*(1+Assumptions!$D$9)</f>
        <v/>
      </c>
      <c r="E7" s="30">
        <f>D7*(1+Assumptions!$D$9)</f>
        <v/>
      </c>
      <c r="F7" s="30">
        <f>E7*(1+Assumptions!$D$9)</f>
        <v/>
      </c>
      <c r="G7" s="30">
        <f>F7*(1+Assumptions!$D$9)</f>
        <v/>
      </c>
      <c r="H7" s="30">
        <f>G7*(1+Assumptions!$D$9)</f>
        <v/>
      </c>
      <c r="I7" s="30">
        <f>H7*(1+Assumptions!D10)</f>
        <v/>
      </c>
    </row>
    <row r="8">
      <c r="B8" s="19" t="inlineStr">
        <is>
          <t xml:space="preserve">  YoY growth</t>
        </is>
      </c>
      <c r="C8" s="31" t="inlineStr">
        <is>
          <t>—</t>
        </is>
      </c>
      <c r="D8" s="32">
        <f>IFERROR(D7/C7-1,0)</f>
        <v/>
      </c>
      <c r="E8" s="32">
        <f>IFERROR(E7/D7-1,0)</f>
        <v/>
      </c>
      <c r="F8" s="32">
        <f>IFERROR(F7/E7-1,0)</f>
        <v/>
      </c>
      <c r="G8" s="32">
        <f>IFERROR(G7/F7-1,0)</f>
        <v/>
      </c>
      <c r="H8" s="32">
        <f>IFERROR(H7/G7-1,0)</f>
        <v/>
      </c>
      <c r="I8" s="32">
        <f>IFERROR(I7/H7-1,0)</f>
        <v/>
      </c>
    </row>
    <row r="10" ht="22" customHeight="1">
      <c r="B10" s="3" t="inlineStr">
        <is>
          <t xml:space="preserve">  2. Income Statement</t>
        </is>
      </c>
    </row>
    <row r="11">
      <c r="B11" s="13" t="inlineStr">
        <is>
          <t>Gross profit ($M)</t>
        </is>
      </c>
      <c r="C11" s="30" t="n">
        <v>44300</v>
      </c>
      <c r="D11" s="30">
        <f>D7*(Assumptions!$D$13+(Assumptions!$D$14-Assumptions!$D$13)*0.0)</f>
        <v/>
      </c>
      <c r="E11" s="30">
        <f>E7*(Assumptions!$D$13+(Assumptions!$D$14-Assumptions!$D$13)*0.25)</f>
        <v/>
      </c>
      <c r="F11" s="30">
        <f>F7*(Assumptions!$D$13+(Assumptions!$D$14-Assumptions!$D$13)*0.5)</f>
        <v/>
      </c>
      <c r="G11" s="30">
        <f>G7*(Assumptions!$D$13+(Assumptions!$D$14-Assumptions!$D$13)*0.75)</f>
        <v/>
      </c>
      <c r="H11" s="30">
        <f>H7*(Assumptions!$D$13+(Assumptions!$D$14-Assumptions!$D$13)*1.0)</f>
        <v/>
      </c>
      <c r="I11" s="30">
        <f>I7*Assumptions!$D$14</f>
        <v/>
      </c>
    </row>
    <row r="12">
      <c r="B12" s="19" t="inlineStr">
        <is>
          <t xml:space="preserve">  Gross margin %</t>
        </is>
      </c>
      <c r="C12" s="32">
        <f>IFERROR(C11/C7,0)</f>
        <v/>
      </c>
      <c r="D12" s="32">
        <f>IFERROR(D11/D7,0)</f>
        <v/>
      </c>
      <c r="E12" s="32">
        <f>IFERROR(E11/E7,0)</f>
        <v/>
      </c>
      <c r="F12" s="32">
        <f>IFERROR(F11/F7,0)</f>
        <v/>
      </c>
      <c r="G12" s="32">
        <f>IFERROR(G11/G7,0)</f>
        <v/>
      </c>
      <c r="H12" s="32">
        <f>IFERROR(H11/H7,0)</f>
        <v/>
      </c>
      <c r="I12" s="32">
        <f>IFERROR(I11/I7,0)</f>
        <v/>
      </c>
    </row>
    <row r="13">
      <c r="B13" s="33" t="inlineStr">
        <is>
          <t>Operating expenses ($M)</t>
        </is>
      </c>
      <c r="C13" s="20" t="n">
        <v>11600</v>
      </c>
      <c r="D13" s="34">
        <f>D7*(Assumptions!$D$15+(Assumptions!$D$16-Assumptions!$D$15)*0.0)</f>
        <v/>
      </c>
      <c r="E13" s="34">
        <f>E7*(Assumptions!$D$15+(Assumptions!$D$16-Assumptions!$D$15)*0.25)</f>
        <v/>
      </c>
      <c r="F13" s="34">
        <f>F7*(Assumptions!$D$15+(Assumptions!$D$16-Assumptions!$D$15)*0.5)</f>
        <v/>
      </c>
      <c r="G13" s="34">
        <f>G7*(Assumptions!$D$15+(Assumptions!$D$16-Assumptions!$D$15)*0.75)</f>
        <v/>
      </c>
      <c r="H13" s="34">
        <f>H7*(Assumptions!$D$15+(Assumptions!$D$16-Assumptions!$D$15)*1.0)</f>
        <v/>
      </c>
      <c r="I13" s="34">
        <f>I7*Assumptions!$D$16</f>
        <v/>
      </c>
    </row>
    <row r="14">
      <c r="B14" s="13" t="inlineStr">
        <is>
          <t>EBITDA ($M)</t>
        </is>
      </c>
      <c r="C14" s="30">
        <f>C11-C13</f>
        <v/>
      </c>
      <c r="D14" s="30">
        <f>D11-D13</f>
        <v/>
      </c>
      <c r="E14" s="30">
        <f>E11-E13</f>
        <v/>
      </c>
      <c r="F14" s="30">
        <f>F11-F13</f>
        <v/>
      </c>
      <c r="G14" s="30">
        <f>G11-G13</f>
        <v/>
      </c>
      <c r="H14" s="30">
        <f>H11-H13</f>
        <v/>
      </c>
      <c r="I14" s="30">
        <f>I11-I13</f>
        <v/>
      </c>
    </row>
    <row r="15">
      <c r="B15" s="19" t="inlineStr">
        <is>
          <t xml:space="preserve">  EBITDA margin %</t>
        </is>
      </c>
      <c r="C15" s="32">
        <f>IFERROR(C14/C7,0)</f>
        <v/>
      </c>
      <c r="D15" s="32">
        <f>IFERROR(D14/D7,0)</f>
        <v/>
      </c>
      <c r="E15" s="32">
        <f>IFERROR(E14/E7,0)</f>
        <v/>
      </c>
      <c r="F15" s="32">
        <f>IFERROR(F14/F7,0)</f>
        <v/>
      </c>
      <c r="G15" s="32">
        <f>IFERROR(G14/G7,0)</f>
        <v/>
      </c>
      <c r="H15" s="32">
        <f>IFERROR(H14/H7,0)</f>
        <v/>
      </c>
      <c r="I15" s="32">
        <f>IFERROR(I14/I7,0)</f>
        <v/>
      </c>
    </row>
    <row r="16">
      <c r="B16" s="33" t="inlineStr">
        <is>
          <t>Depreciation &amp; amortization ($M)</t>
        </is>
      </c>
      <c r="C16" s="20" t="n">
        <v>2800</v>
      </c>
      <c r="D16" s="34">
        <f>D7*0.045</f>
        <v/>
      </c>
      <c r="E16" s="34">
        <f>E7*0.045</f>
        <v/>
      </c>
      <c r="F16" s="34">
        <f>F7*0.045</f>
        <v/>
      </c>
      <c r="G16" s="34">
        <f>G7*0.045</f>
        <v/>
      </c>
      <c r="H16" s="34">
        <f>H7*0.045</f>
        <v/>
      </c>
      <c r="I16" s="34">
        <f>I7*0.045</f>
        <v/>
      </c>
    </row>
    <row r="17">
      <c r="B17" s="13" t="inlineStr">
        <is>
          <t>EBIT ($M)</t>
        </is>
      </c>
      <c r="C17" s="30">
        <f>C14-C16</f>
        <v/>
      </c>
      <c r="D17" s="30">
        <f>D14-D16</f>
        <v/>
      </c>
      <c r="E17" s="30">
        <f>E14-E16</f>
        <v/>
      </c>
      <c r="F17" s="30">
        <f>F14-F16</f>
        <v/>
      </c>
      <c r="G17" s="30">
        <f>G14-G16</f>
        <v/>
      </c>
      <c r="H17" s="30">
        <f>H14-H16</f>
        <v/>
      </c>
      <c r="I17" s="30">
        <f>I14-I16</f>
        <v/>
      </c>
    </row>
    <row r="18">
      <c r="B18" s="19" t="inlineStr">
        <is>
          <t xml:space="preserve">  EBIT margin %</t>
        </is>
      </c>
      <c r="C18" s="32">
        <f>IFERROR(C17/C7,0)</f>
        <v/>
      </c>
      <c r="D18" s="32">
        <f>IFERROR(D17/D7,0)</f>
        <v/>
      </c>
      <c r="E18" s="32">
        <f>IFERROR(E17/E7,0)</f>
        <v/>
      </c>
      <c r="F18" s="32">
        <f>IFERROR(F17/F7,0)</f>
        <v/>
      </c>
      <c r="G18" s="32">
        <f>IFERROR(G17/G7,0)</f>
        <v/>
      </c>
      <c r="H18" s="32">
        <f>IFERROR(H17/H7,0)</f>
        <v/>
      </c>
      <c r="I18" s="32">
        <f>IFERROR(I17/I7,0)</f>
        <v/>
      </c>
    </row>
    <row r="19">
      <c r="B19" s="33" t="inlineStr">
        <is>
          <t>Taxes ($M)</t>
        </is>
      </c>
      <c r="C19" s="20" t="n">
        <v>6300</v>
      </c>
      <c r="D19" s="34">
        <f>MAX(0,D17)*Assumptions!$D$19</f>
        <v/>
      </c>
      <c r="E19" s="34">
        <f>MAX(0,E17)*Assumptions!$D$19</f>
        <v/>
      </c>
      <c r="F19" s="34">
        <f>MAX(0,F17)*Assumptions!$D$19</f>
        <v/>
      </c>
      <c r="G19" s="34">
        <f>MAX(0,G17)*Assumptions!$D$19</f>
        <v/>
      </c>
      <c r="H19" s="34">
        <f>MAX(0,H17)*Assumptions!$D$19</f>
        <v/>
      </c>
      <c r="I19" s="34">
        <f>MAX(0,I17)*Assumptions!$D$19</f>
        <v/>
      </c>
    </row>
    <row r="20">
      <c r="B20" s="13" t="inlineStr">
        <is>
          <t>NOPAT ($M)</t>
        </is>
      </c>
      <c r="C20" s="30">
        <f>C17-C19</f>
        <v/>
      </c>
      <c r="D20" s="30">
        <f>D17-D19</f>
        <v/>
      </c>
      <c r="E20" s="30">
        <f>E17-E19</f>
        <v/>
      </c>
      <c r="F20" s="30">
        <f>F17-F19</f>
        <v/>
      </c>
      <c r="G20" s="30">
        <f>G17-G19</f>
        <v/>
      </c>
      <c r="H20" s="30">
        <f>H17-H19</f>
        <v/>
      </c>
      <c r="I20" s="30">
        <f>I17-I19</f>
        <v/>
      </c>
    </row>
    <row r="22" ht="22" customHeight="1">
      <c r="B22" s="3" t="inlineStr">
        <is>
          <t xml:space="preserve">  3. Unlevered Free Cash Flow Build</t>
        </is>
      </c>
    </row>
    <row r="23">
      <c r="B23" s="33" t="inlineStr">
        <is>
          <t>NOPAT ($M)</t>
        </is>
      </c>
      <c r="C23" s="35">
        <f>C20</f>
        <v/>
      </c>
      <c r="D23" s="35">
        <f>D20</f>
        <v/>
      </c>
      <c r="E23" s="35">
        <f>E20</f>
        <v/>
      </c>
      <c r="F23" s="35">
        <f>F20</f>
        <v/>
      </c>
      <c r="G23" s="35">
        <f>G20</f>
        <v/>
      </c>
      <c r="H23" s="35">
        <f>H20</f>
        <v/>
      </c>
      <c r="I23" s="35">
        <f>I20</f>
        <v/>
      </c>
    </row>
    <row r="24">
      <c r="B24" s="33" t="inlineStr">
        <is>
          <t>(+) D&amp;A</t>
        </is>
      </c>
      <c r="C24" s="35">
        <f>C16</f>
        <v/>
      </c>
      <c r="D24" s="35">
        <f>D16</f>
        <v/>
      </c>
      <c r="E24" s="35">
        <f>E16</f>
        <v/>
      </c>
      <c r="F24" s="35">
        <f>F16</f>
        <v/>
      </c>
      <c r="G24" s="35">
        <f>G16</f>
        <v/>
      </c>
      <c r="H24" s="35">
        <f>H16</f>
        <v/>
      </c>
      <c r="I24" s="35">
        <f>I16</f>
        <v/>
      </c>
    </row>
    <row r="25">
      <c r="B25" s="33" t="inlineStr">
        <is>
          <t>(–) Capital expenditures</t>
        </is>
      </c>
      <c r="C25" s="20" t="n">
        <v>3200</v>
      </c>
      <c r="D25" s="34">
        <f>D7*Assumptions!$D$17</f>
        <v/>
      </c>
      <c r="E25" s="34">
        <f>E7*Assumptions!$D$17</f>
        <v/>
      </c>
      <c r="F25" s="34">
        <f>F7*Assumptions!$D$17</f>
        <v/>
      </c>
      <c r="G25" s="34">
        <f>G7*Assumptions!$D$17</f>
        <v/>
      </c>
      <c r="H25" s="34">
        <f>H7*Assumptions!$D$17</f>
        <v/>
      </c>
      <c r="I25" s="34">
        <f>I7*Assumptions!$D$17</f>
        <v/>
      </c>
    </row>
    <row r="26">
      <c r="B26" s="33" t="inlineStr">
        <is>
          <t>(–) Δ Net working capital</t>
        </is>
      </c>
      <c r="C26" s="20" t="n">
        <v>0</v>
      </c>
      <c r="D26" s="34">
        <f>(D7-C7)*Assumptions!$D$18</f>
        <v/>
      </c>
      <c r="E26" s="34">
        <f>(E7-D7)*Assumptions!$D$18</f>
        <v/>
      </c>
      <c r="F26" s="34">
        <f>(F7-E7)*Assumptions!$D$18</f>
        <v/>
      </c>
      <c r="G26" s="34">
        <f>(G7-F7)*Assumptions!$D$18</f>
        <v/>
      </c>
      <c r="H26" s="34">
        <f>(H7-G7)*Assumptions!$D$18</f>
        <v/>
      </c>
      <c r="I26" s="34">
        <f>(I7-H7)*Assumptions!$D$18</f>
        <v/>
      </c>
    </row>
    <row r="27">
      <c r="B27" s="13" t="inlineStr">
        <is>
          <t>Unlevered Free Cash Flow ($M)</t>
        </is>
      </c>
      <c r="C27" s="30">
        <f>C23+C24-C25-C26</f>
        <v/>
      </c>
      <c r="D27" s="30">
        <f>D23+D24-D25-D26</f>
        <v/>
      </c>
      <c r="E27" s="30">
        <f>E23+E24-E25-E26</f>
        <v/>
      </c>
      <c r="F27" s="30">
        <f>F23+F24-F25-F26</f>
        <v/>
      </c>
      <c r="G27" s="30">
        <f>G23+G24-G25-G26</f>
        <v/>
      </c>
      <c r="H27" s="30">
        <f>H23+H24-H25-H26</f>
        <v/>
      </c>
      <c r="I27" s="30">
        <f>I23+I24-I25-I26</f>
        <v/>
      </c>
    </row>
    <row r="28">
      <c r="B28" s="19" t="inlineStr">
        <is>
          <t xml:space="preserve">  FCF margin %</t>
        </is>
      </c>
      <c r="C28" s="32">
        <f>IFERROR(C27/C7,0)</f>
        <v/>
      </c>
      <c r="D28" s="32">
        <f>IFERROR(D27/D7,0)</f>
        <v/>
      </c>
      <c r="E28" s="32">
        <f>IFERROR(E27/E7,0)</f>
        <v/>
      </c>
      <c r="F28" s="32">
        <f>IFERROR(F27/F7,0)</f>
        <v/>
      </c>
      <c r="G28" s="32">
        <f>IFERROR(G27/G7,0)</f>
        <v/>
      </c>
      <c r="H28" s="32">
        <f>IFERROR(H27/H7,0)</f>
        <v/>
      </c>
      <c r="I28" s="32">
        <f>IFERROR(I27/I7,0)</f>
        <v/>
      </c>
    </row>
    <row r="30" ht="22" customHeight="1">
      <c r="B30" s="3" t="inlineStr">
        <is>
          <t xml:space="preserve">  4. WACC &amp; Discounting</t>
        </is>
      </c>
    </row>
    <row r="31">
      <c r="B31" s="13" t="inlineStr">
        <is>
          <t>WACC</t>
        </is>
      </c>
      <c r="C31" s="31" t="inlineStr">
        <is>
          <t>—</t>
        </is>
      </c>
      <c r="D31" s="36">
        <f>Assumptions!$D$28</f>
        <v/>
      </c>
      <c r="E31" s="36">
        <f>Assumptions!$D$28</f>
        <v/>
      </c>
      <c r="F31" s="36">
        <f>Assumptions!$D$28</f>
        <v/>
      </c>
      <c r="G31" s="36">
        <f>Assumptions!$D$28</f>
        <v/>
      </c>
      <c r="H31" s="36">
        <f>Assumptions!$D$28</f>
        <v/>
      </c>
      <c r="I31" s="36">
        <f>Assumptions!$D$28</f>
        <v/>
      </c>
    </row>
    <row r="32">
      <c r="B32" s="33" t="inlineStr">
        <is>
          <t xml:space="preserve">  Discount period (yrs, mid-year)</t>
        </is>
      </c>
      <c r="C32" s="31" t="inlineStr">
        <is>
          <t>—</t>
        </is>
      </c>
      <c r="D32" s="37">
        <f>1-0.5</f>
        <v/>
      </c>
      <c r="E32" s="37">
        <f>2-0.5</f>
        <v/>
      </c>
      <c r="F32" s="37">
        <f>3-0.5</f>
        <v/>
      </c>
      <c r="G32" s="37">
        <f>4-0.5</f>
        <v/>
      </c>
      <c r="H32" s="37">
        <f>5-0.5</f>
        <v/>
      </c>
      <c r="I32" s="31" t="inlineStr">
        <is>
          <t>—</t>
        </is>
      </c>
    </row>
    <row r="33">
      <c r="B33" s="19" t="inlineStr">
        <is>
          <t xml:space="preserve">  Discount factor</t>
        </is>
      </c>
      <c r="D33" s="37">
        <f>1/(1+D31)^D32</f>
        <v/>
      </c>
      <c r="E33" s="37">
        <f>1/(1+E31)^E32</f>
        <v/>
      </c>
      <c r="F33" s="37">
        <f>1/(1+F31)^F32</f>
        <v/>
      </c>
      <c r="G33" s="37">
        <f>1/(1+G31)^G32</f>
        <v/>
      </c>
      <c r="H33" s="37">
        <f>1/(1+H31)^H32</f>
        <v/>
      </c>
    </row>
    <row r="34">
      <c r="B34" s="13" t="inlineStr">
        <is>
          <t>PV of unlevered FCF ($M)</t>
        </is>
      </c>
      <c r="C34" s="38" t="n"/>
      <c r="D34" s="30">
        <f>D27*D33</f>
        <v/>
      </c>
      <c r="E34" s="30">
        <f>E27*E33</f>
        <v/>
      </c>
      <c r="F34" s="30">
        <f>F27*F33</f>
        <v/>
      </c>
      <c r="G34" s="30">
        <f>G27*G33</f>
        <v/>
      </c>
      <c r="H34" s="30">
        <f>H27*H33</f>
        <v/>
      </c>
      <c r="I34" s="38" t="n"/>
    </row>
    <row r="35">
      <c r="B35" s="13" t="inlineStr">
        <is>
          <t>Sum PV of explicit FCF ($M)</t>
        </is>
      </c>
      <c r="C35" s="30">
        <f>SUM(D34:H34)</f>
        <v/>
      </c>
      <c r="D35" s="38" t="n"/>
      <c r="E35" s="38" t="n"/>
    </row>
    <row r="37" ht="22" customHeight="1">
      <c r="B37" s="3" t="inlineStr">
        <is>
          <t xml:space="preserve">  5. Terminal Value</t>
        </is>
      </c>
    </row>
    <row r="38">
      <c r="B38" s="33" t="inlineStr">
        <is>
          <t>Terminal Year EBITDA ($M)</t>
        </is>
      </c>
      <c r="C38" s="31" t="inlineStr">
        <is>
          <t>—</t>
        </is>
      </c>
      <c r="H38" s="35">
        <f>H14</f>
        <v/>
      </c>
    </row>
    <row r="39">
      <c r="B39" s="33" t="inlineStr">
        <is>
          <t>Terminal year FCF ($M)</t>
        </is>
      </c>
      <c r="C39" s="31" t="inlineStr">
        <is>
          <t>—</t>
        </is>
      </c>
      <c r="H39" s="35">
        <f>H27</f>
        <v/>
      </c>
    </row>
    <row r="40">
      <c r="B40" s="33" t="inlineStr">
        <is>
          <t>Terminal growth rate (g)</t>
        </is>
      </c>
      <c r="C40" s="31" t="inlineStr">
        <is>
          <t>—</t>
        </is>
      </c>
      <c r="H40" s="39">
        <f>Assumptions!D10</f>
        <v/>
      </c>
    </row>
    <row r="41">
      <c r="B41" s="19" t="inlineStr">
        <is>
          <t>WACC – g</t>
        </is>
      </c>
      <c r="C41" s="31" t="inlineStr">
        <is>
          <t>—</t>
        </is>
      </c>
      <c r="H41" s="32">
        <f>H31-H40</f>
        <v/>
      </c>
    </row>
    <row r="42">
      <c r="B42" s="13" t="inlineStr">
        <is>
          <t>Terminal Value (Gordon) ($M)</t>
        </is>
      </c>
      <c r="C42" s="38" t="n"/>
      <c r="D42" s="38" t="n"/>
      <c r="E42" s="38" t="n"/>
      <c r="F42" s="38" t="n"/>
      <c r="G42" s="38" t="n"/>
      <c r="H42" s="30">
        <f>H27*(1+H40)/(H31-H40)</f>
        <v/>
      </c>
    </row>
    <row r="43">
      <c r="B43" s="22" t="inlineStr">
        <is>
          <t xml:space="preserve">  PV of Terminal Value ($M)</t>
        </is>
      </c>
      <c r="H43" s="40">
        <f>H42*H33</f>
        <v/>
      </c>
    </row>
    <row r="45">
      <c r="B45" s="33" t="inlineStr">
        <is>
          <t>Exit EV/EBITDA multiple (x)</t>
        </is>
      </c>
      <c r="C45" s="31" t="inlineStr">
        <is>
          <t>—</t>
        </is>
      </c>
      <c r="H45" s="41">
        <f>Assumptions!D32</f>
        <v/>
      </c>
    </row>
    <row r="46">
      <c r="B46" s="33" t="inlineStr">
        <is>
          <t>Terminal Value (Exit Mult.) ($M)</t>
        </is>
      </c>
      <c r="H46" s="34">
        <f>H14*H45</f>
        <v/>
      </c>
    </row>
    <row r="47">
      <c r="B47" s="19" t="inlineStr">
        <is>
          <t xml:space="preserve">  PV of TV (Exit Mult.) ($M)</t>
        </is>
      </c>
      <c r="H47" s="34">
        <f>H46*H33</f>
        <v/>
      </c>
    </row>
    <row r="49" ht="22" customHeight="1">
      <c r="B49" s="3" t="inlineStr">
        <is>
          <t xml:space="preserve">  6. Enterprise &amp; Equity Value</t>
        </is>
      </c>
    </row>
    <row r="50">
      <c r="B50" s="33" t="inlineStr">
        <is>
          <t>Sum PV of explicit FCF ($M)</t>
        </is>
      </c>
      <c r="C50" s="42">
        <f>C35</f>
        <v/>
      </c>
    </row>
    <row r="51">
      <c r="B51" s="33" t="inlineStr">
        <is>
          <t>(+) PV of Terminal Value ($M)</t>
        </is>
      </c>
      <c r="C51" s="42">
        <f>H43</f>
        <v/>
      </c>
    </row>
    <row r="52">
      <c r="B52" s="13" t="inlineStr">
        <is>
          <t>Enterprise Value ($M)</t>
        </is>
      </c>
      <c r="C52" s="30">
        <f>C50+C51</f>
        <v/>
      </c>
      <c r="D52" s="38" t="n"/>
      <c r="E52" s="38" t="n"/>
    </row>
    <row r="53">
      <c r="B53" s="33" t="inlineStr">
        <is>
          <t>(–) Total debt ($M)</t>
        </is>
      </c>
      <c r="C53" s="35">
        <f>Assumptions!$D$35</f>
        <v/>
      </c>
    </row>
    <row r="54">
      <c r="B54" s="33" t="inlineStr">
        <is>
          <t>(+) Cash &amp; equivalents ($M)</t>
        </is>
      </c>
      <c r="C54" s="35">
        <f>Assumptions!$D$36</f>
        <v/>
      </c>
    </row>
    <row r="55">
      <c r="B55" s="13" t="inlineStr">
        <is>
          <t>Equity Value ($M)</t>
        </is>
      </c>
      <c r="C55" s="30">
        <f>C52-C53+C54</f>
        <v/>
      </c>
      <c r="D55" s="38" t="n"/>
      <c r="E55" s="38" t="n"/>
    </row>
    <row r="56">
      <c r="B56" s="33" t="inlineStr">
        <is>
          <t>(÷) Shares outstanding (M)</t>
        </is>
      </c>
      <c r="C56" s="43">
        <f>Assumptions!$D$37</f>
        <v/>
      </c>
    </row>
    <row r="57">
      <c r="B57" s="13" t="inlineStr">
        <is>
          <t>Implied share price ($)</t>
        </is>
      </c>
      <c r="C57" s="44">
        <f>IFERROR(C55/C56,0)</f>
        <v/>
      </c>
      <c r="D57" s="38" t="n"/>
      <c r="E57" s="38" t="n"/>
    </row>
    <row r="58">
      <c r="B58" s="33" t="inlineStr">
        <is>
          <t>Current share price ($)</t>
        </is>
      </c>
      <c r="C58" s="45">
        <f>Assumptions!$D$38</f>
        <v/>
      </c>
    </row>
    <row r="59">
      <c r="B59" s="13" t="inlineStr">
        <is>
          <t>Upside / (Downside) %</t>
        </is>
      </c>
      <c r="C59" s="46">
        <f>IFERROR(C57/C58-1,0)</f>
        <v/>
      </c>
    </row>
    <row r="61">
      <c r="B61" s="47" t="inlineStr">
        <is>
          <t>Cross-check: Exit Multiple method</t>
        </is>
      </c>
    </row>
    <row r="62">
      <c r="B62" s="33" t="inlineStr">
        <is>
          <t>EV (Exit Multiple method) ($M)</t>
        </is>
      </c>
      <c r="C62" s="34">
        <f>C50+H47</f>
        <v/>
      </c>
    </row>
    <row r="63">
      <c r="B63" s="33" t="inlineStr">
        <is>
          <t>Equity Value (Exit Mult.) ($M)</t>
        </is>
      </c>
      <c r="C63" s="34">
        <f>C62-C53+C54</f>
        <v/>
      </c>
    </row>
    <row r="64">
      <c r="B64" s="33" t="inlineStr">
        <is>
          <t>Implied price (Exit Mult.) ($)</t>
        </is>
      </c>
      <c r="C64" s="48">
        <f>IFERROR(C63/C56,0)</f>
        <v/>
      </c>
    </row>
    <row r="66" ht="36" customHeight="1">
      <c r="B66" s="11" t="inlineStr">
        <is>
          <t>Notes: Mid-year discounting convention applied to explicit forecast period. Terminal value computed via Gordon Growth (primary) and Exit EV/EBITDA (cross-check). All blue cells are inputs on the Assumptions sheet — modify there to update all scenarios.</t>
        </is>
      </c>
    </row>
  </sheetData>
  <mergeCells count="24">
    <mergeCell ref="C54:E54"/>
    <mergeCell ref="C50:E50"/>
    <mergeCell ref="C55:E55"/>
    <mergeCell ref="B22:I22"/>
    <mergeCell ref="C56:E56"/>
    <mergeCell ref="C59:E59"/>
    <mergeCell ref="C51:E51"/>
    <mergeCell ref="C52:E52"/>
    <mergeCell ref="B61:F61"/>
    <mergeCell ref="B3:K3"/>
    <mergeCell ref="B66:K66"/>
    <mergeCell ref="C57:E57"/>
    <mergeCell ref="C53:E53"/>
    <mergeCell ref="B10:I10"/>
    <mergeCell ref="B37:I37"/>
    <mergeCell ref="B2:K2"/>
    <mergeCell ref="B49:I49"/>
    <mergeCell ref="C62:E62"/>
    <mergeCell ref="C58:E58"/>
    <mergeCell ref="B30:I30"/>
    <mergeCell ref="B6:I6"/>
    <mergeCell ref="C64:E64"/>
    <mergeCell ref="C35:E35"/>
    <mergeCell ref="C63:E63"/>
  </mergeCells>
  <conditionalFormatting sqref="C59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K6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5" customWidth="1" min="1" max="1"/>
    <col width="3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 ht="8" customHeight="1"/>
    <row r="2" ht="30" customHeight="1">
      <c r="B2" s="1" t="inlineStr">
        <is>
          <t>Bull Case — DCF Valuation</t>
        </is>
      </c>
    </row>
    <row r="3" ht="6" customHeight="1">
      <c r="B3" s="50" t="inlineStr">
        <is>
          <t>Scenario: Bull  |  5-yr CAGR: 40%  |  WACC: 10.0%  |  AI supercycle, AGI inflection, monopoly-like pricing power</t>
        </is>
      </c>
    </row>
    <row r="4" ht="24" customHeight="1">
      <c r="C4" s="12" t="inlineStr">
        <is>
          <t>FY2024A</t>
        </is>
      </c>
      <c r="D4" s="12" t="inlineStr">
        <is>
          <t>FY2025E</t>
        </is>
      </c>
      <c r="E4" s="12" t="inlineStr">
        <is>
          <t>FY2026E</t>
        </is>
      </c>
      <c r="F4" s="12" t="inlineStr">
        <is>
          <t>FY2027E</t>
        </is>
      </c>
      <c r="G4" s="12" t="inlineStr">
        <is>
          <t>FY2028E</t>
        </is>
      </c>
      <c r="H4" s="12" t="inlineStr">
        <is>
          <t>FY2029E</t>
        </is>
      </c>
      <c r="I4" s="12" t="inlineStr">
        <is>
          <t>FY2030E</t>
        </is>
      </c>
    </row>
    <row r="6" ht="22" customHeight="1">
      <c r="B6" s="3" t="inlineStr">
        <is>
          <t xml:space="preserve">  1. Revenue Build</t>
        </is>
      </c>
    </row>
    <row r="7">
      <c r="B7" s="13" t="inlineStr">
        <is>
          <t>Revenue ($M)</t>
        </is>
      </c>
      <c r="C7" s="30">
        <f>Assumptions!E8</f>
        <v/>
      </c>
      <c r="D7" s="30">
        <f>C7*(1+Assumptions!$E$9)</f>
        <v/>
      </c>
      <c r="E7" s="30">
        <f>D7*(1+Assumptions!$E$9)</f>
        <v/>
      </c>
      <c r="F7" s="30">
        <f>E7*(1+Assumptions!$E$9)</f>
        <v/>
      </c>
      <c r="G7" s="30">
        <f>F7*(1+Assumptions!$E$9)</f>
        <v/>
      </c>
      <c r="H7" s="30">
        <f>G7*(1+Assumptions!$E$9)</f>
        <v/>
      </c>
      <c r="I7" s="30">
        <f>H7*(1+Assumptions!E10)</f>
        <v/>
      </c>
    </row>
    <row r="8">
      <c r="B8" s="19" t="inlineStr">
        <is>
          <t xml:space="preserve">  YoY growth</t>
        </is>
      </c>
      <c r="C8" s="31" t="inlineStr">
        <is>
          <t>—</t>
        </is>
      </c>
      <c r="D8" s="32">
        <f>IFERROR(D7/C7-1,0)</f>
        <v/>
      </c>
      <c r="E8" s="32">
        <f>IFERROR(E7/D7-1,0)</f>
        <v/>
      </c>
      <c r="F8" s="32">
        <f>IFERROR(F7/E7-1,0)</f>
        <v/>
      </c>
      <c r="G8" s="32">
        <f>IFERROR(G7/F7-1,0)</f>
        <v/>
      </c>
      <c r="H8" s="32">
        <f>IFERROR(H7/G7-1,0)</f>
        <v/>
      </c>
      <c r="I8" s="32">
        <f>IFERROR(I7/H7-1,0)</f>
        <v/>
      </c>
    </row>
    <row r="10" ht="22" customHeight="1">
      <c r="B10" s="3" t="inlineStr">
        <is>
          <t xml:space="preserve">  2. Income Statement</t>
        </is>
      </c>
    </row>
    <row r="11">
      <c r="B11" s="13" t="inlineStr">
        <is>
          <t>Gross profit ($M)</t>
        </is>
      </c>
      <c r="C11" s="30" t="n">
        <v>44300</v>
      </c>
      <c r="D11" s="30">
        <f>D7*(Assumptions!$E$13+(Assumptions!$E$14-Assumptions!$E$13)*0.0)</f>
        <v/>
      </c>
      <c r="E11" s="30">
        <f>E7*(Assumptions!$E$13+(Assumptions!$E$14-Assumptions!$E$13)*0.25)</f>
        <v/>
      </c>
      <c r="F11" s="30">
        <f>F7*(Assumptions!$E$13+(Assumptions!$E$14-Assumptions!$E$13)*0.5)</f>
        <v/>
      </c>
      <c r="G11" s="30">
        <f>G7*(Assumptions!$E$13+(Assumptions!$E$14-Assumptions!$E$13)*0.75)</f>
        <v/>
      </c>
      <c r="H11" s="30">
        <f>H7*(Assumptions!$E$13+(Assumptions!$E$14-Assumptions!$E$13)*1.0)</f>
        <v/>
      </c>
      <c r="I11" s="30">
        <f>I7*Assumptions!$E$14</f>
        <v/>
      </c>
    </row>
    <row r="12">
      <c r="B12" s="19" t="inlineStr">
        <is>
          <t xml:space="preserve">  Gross margin %</t>
        </is>
      </c>
      <c r="C12" s="32">
        <f>IFERROR(C11/C7,0)</f>
        <v/>
      </c>
      <c r="D12" s="32">
        <f>IFERROR(D11/D7,0)</f>
        <v/>
      </c>
      <c r="E12" s="32">
        <f>IFERROR(E11/E7,0)</f>
        <v/>
      </c>
      <c r="F12" s="32">
        <f>IFERROR(F11/F7,0)</f>
        <v/>
      </c>
      <c r="G12" s="32">
        <f>IFERROR(G11/G7,0)</f>
        <v/>
      </c>
      <c r="H12" s="32">
        <f>IFERROR(H11/H7,0)</f>
        <v/>
      </c>
      <c r="I12" s="32">
        <f>IFERROR(I11/I7,0)</f>
        <v/>
      </c>
    </row>
    <row r="13">
      <c r="B13" s="33" t="inlineStr">
        <is>
          <t>Operating expenses ($M)</t>
        </is>
      </c>
      <c r="C13" s="20" t="n">
        <v>11600</v>
      </c>
      <c r="D13" s="34">
        <f>D7*(Assumptions!$E$15+(Assumptions!$E$16-Assumptions!$E$15)*0.0)</f>
        <v/>
      </c>
      <c r="E13" s="34">
        <f>E7*(Assumptions!$E$15+(Assumptions!$E$16-Assumptions!$E$15)*0.25)</f>
        <v/>
      </c>
      <c r="F13" s="34">
        <f>F7*(Assumptions!$E$15+(Assumptions!$E$16-Assumptions!$E$15)*0.5)</f>
        <v/>
      </c>
      <c r="G13" s="34">
        <f>G7*(Assumptions!$E$15+(Assumptions!$E$16-Assumptions!$E$15)*0.75)</f>
        <v/>
      </c>
      <c r="H13" s="34">
        <f>H7*(Assumptions!$E$15+(Assumptions!$E$16-Assumptions!$E$15)*1.0)</f>
        <v/>
      </c>
      <c r="I13" s="34">
        <f>I7*Assumptions!$E$16</f>
        <v/>
      </c>
    </row>
    <row r="14">
      <c r="B14" s="13" t="inlineStr">
        <is>
          <t>EBITDA ($M)</t>
        </is>
      </c>
      <c r="C14" s="30">
        <f>C11-C13</f>
        <v/>
      </c>
      <c r="D14" s="30">
        <f>D11-D13</f>
        <v/>
      </c>
      <c r="E14" s="30">
        <f>E11-E13</f>
        <v/>
      </c>
      <c r="F14" s="30">
        <f>F11-F13</f>
        <v/>
      </c>
      <c r="G14" s="30">
        <f>G11-G13</f>
        <v/>
      </c>
      <c r="H14" s="30">
        <f>H11-H13</f>
        <v/>
      </c>
      <c r="I14" s="30">
        <f>I11-I13</f>
        <v/>
      </c>
    </row>
    <row r="15">
      <c r="B15" s="19" t="inlineStr">
        <is>
          <t xml:space="preserve">  EBITDA margin %</t>
        </is>
      </c>
      <c r="C15" s="32">
        <f>IFERROR(C14/C7,0)</f>
        <v/>
      </c>
      <c r="D15" s="32">
        <f>IFERROR(D14/D7,0)</f>
        <v/>
      </c>
      <c r="E15" s="32">
        <f>IFERROR(E14/E7,0)</f>
        <v/>
      </c>
      <c r="F15" s="32">
        <f>IFERROR(F14/F7,0)</f>
        <v/>
      </c>
      <c r="G15" s="32">
        <f>IFERROR(G14/G7,0)</f>
        <v/>
      </c>
      <c r="H15" s="32">
        <f>IFERROR(H14/H7,0)</f>
        <v/>
      </c>
      <c r="I15" s="32">
        <f>IFERROR(I14/I7,0)</f>
        <v/>
      </c>
    </row>
    <row r="16">
      <c r="B16" s="33" t="inlineStr">
        <is>
          <t>Depreciation &amp; amortization ($M)</t>
        </is>
      </c>
      <c r="C16" s="20" t="n">
        <v>2800</v>
      </c>
      <c r="D16" s="34">
        <f>D7*0.045</f>
        <v/>
      </c>
      <c r="E16" s="34">
        <f>E7*0.045</f>
        <v/>
      </c>
      <c r="F16" s="34">
        <f>F7*0.045</f>
        <v/>
      </c>
      <c r="G16" s="34">
        <f>G7*0.045</f>
        <v/>
      </c>
      <c r="H16" s="34">
        <f>H7*0.045</f>
        <v/>
      </c>
      <c r="I16" s="34">
        <f>I7*0.045</f>
        <v/>
      </c>
    </row>
    <row r="17">
      <c r="B17" s="13" t="inlineStr">
        <is>
          <t>EBIT ($M)</t>
        </is>
      </c>
      <c r="C17" s="30">
        <f>C14-C16</f>
        <v/>
      </c>
      <c r="D17" s="30">
        <f>D14-D16</f>
        <v/>
      </c>
      <c r="E17" s="30">
        <f>E14-E16</f>
        <v/>
      </c>
      <c r="F17" s="30">
        <f>F14-F16</f>
        <v/>
      </c>
      <c r="G17" s="30">
        <f>G14-G16</f>
        <v/>
      </c>
      <c r="H17" s="30">
        <f>H14-H16</f>
        <v/>
      </c>
      <c r="I17" s="30">
        <f>I14-I16</f>
        <v/>
      </c>
    </row>
    <row r="18">
      <c r="B18" s="19" t="inlineStr">
        <is>
          <t xml:space="preserve">  EBIT margin %</t>
        </is>
      </c>
      <c r="C18" s="32">
        <f>IFERROR(C17/C7,0)</f>
        <v/>
      </c>
      <c r="D18" s="32">
        <f>IFERROR(D17/D7,0)</f>
        <v/>
      </c>
      <c r="E18" s="32">
        <f>IFERROR(E17/E7,0)</f>
        <v/>
      </c>
      <c r="F18" s="32">
        <f>IFERROR(F17/F7,0)</f>
        <v/>
      </c>
      <c r="G18" s="32">
        <f>IFERROR(G17/G7,0)</f>
        <v/>
      </c>
      <c r="H18" s="32">
        <f>IFERROR(H17/H7,0)</f>
        <v/>
      </c>
      <c r="I18" s="32">
        <f>IFERROR(I17/I7,0)</f>
        <v/>
      </c>
    </row>
    <row r="19">
      <c r="B19" s="33" t="inlineStr">
        <is>
          <t>Taxes ($M)</t>
        </is>
      </c>
      <c r="C19" s="20" t="n">
        <v>6300</v>
      </c>
      <c r="D19" s="34">
        <f>MAX(0,D17)*Assumptions!$E$19</f>
        <v/>
      </c>
      <c r="E19" s="34">
        <f>MAX(0,E17)*Assumptions!$E$19</f>
        <v/>
      </c>
      <c r="F19" s="34">
        <f>MAX(0,F17)*Assumptions!$E$19</f>
        <v/>
      </c>
      <c r="G19" s="34">
        <f>MAX(0,G17)*Assumptions!$E$19</f>
        <v/>
      </c>
      <c r="H19" s="34">
        <f>MAX(0,H17)*Assumptions!$E$19</f>
        <v/>
      </c>
      <c r="I19" s="34">
        <f>MAX(0,I17)*Assumptions!$E$19</f>
        <v/>
      </c>
    </row>
    <row r="20">
      <c r="B20" s="13" t="inlineStr">
        <is>
          <t>NOPAT ($M)</t>
        </is>
      </c>
      <c r="C20" s="30">
        <f>C17-C19</f>
        <v/>
      </c>
      <c r="D20" s="30">
        <f>D17-D19</f>
        <v/>
      </c>
      <c r="E20" s="30">
        <f>E17-E19</f>
        <v/>
      </c>
      <c r="F20" s="30">
        <f>F17-F19</f>
        <v/>
      </c>
      <c r="G20" s="30">
        <f>G17-G19</f>
        <v/>
      </c>
      <c r="H20" s="30">
        <f>H17-H19</f>
        <v/>
      </c>
      <c r="I20" s="30">
        <f>I17-I19</f>
        <v/>
      </c>
    </row>
    <row r="22" ht="22" customHeight="1">
      <c r="B22" s="3" t="inlineStr">
        <is>
          <t xml:space="preserve">  3. Unlevered Free Cash Flow Build</t>
        </is>
      </c>
    </row>
    <row r="23">
      <c r="B23" s="33" t="inlineStr">
        <is>
          <t>NOPAT ($M)</t>
        </is>
      </c>
      <c r="C23" s="35">
        <f>C20</f>
        <v/>
      </c>
      <c r="D23" s="35">
        <f>D20</f>
        <v/>
      </c>
      <c r="E23" s="35">
        <f>E20</f>
        <v/>
      </c>
      <c r="F23" s="35">
        <f>F20</f>
        <v/>
      </c>
      <c r="G23" s="35">
        <f>G20</f>
        <v/>
      </c>
      <c r="H23" s="35">
        <f>H20</f>
        <v/>
      </c>
      <c r="I23" s="35">
        <f>I20</f>
        <v/>
      </c>
    </row>
    <row r="24">
      <c r="B24" s="33" t="inlineStr">
        <is>
          <t>(+) D&amp;A</t>
        </is>
      </c>
      <c r="C24" s="35">
        <f>C16</f>
        <v/>
      </c>
      <c r="D24" s="35">
        <f>D16</f>
        <v/>
      </c>
      <c r="E24" s="35">
        <f>E16</f>
        <v/>
      </c>
      <c r="F24" s="35">
        <f>F16</f>
        <v/>
      </c>
      <c r="G24" s="35">
        <f>G16</f>
        <v/>
      </c>
      <c r="H24" s="35">
        <f>H16</f>
        <v/>
      </c>
      <c r="I24" s="35">
        <f>I16</f>
        <v/>
      </c>
    </row>
    <row r="25">
      <c r="B25" s="33" t="inlineStr">
        <is>
          <t>(–) Capital expenditures</t>
        </is>
      </c>
      <c r="C25" s="20" t="n">
        <v>3200</v>
      </c>
      <c r="D25" s="34">
        <f>D7*Assumptions!$E$17</f>
        <v/>
      </c>
      <c r="E25" s="34">
        <f>E7*Assumptions!$E$17</f>
        <v/>
      </c>
      <c r="F25" s="34">
        <f>F7*Assumptions!$E$17</f>
        <v/>
      </c>
      <c r="G25" s="34">
        <f>G7*Assumptions!$E$17</f>
        <v/>
      </c>
      <c r="H25" s="34">
        <f>H7*Assumptions!$E$17</f>
        <v/>
      </c>
      <c r="I25" s="34">
        <f>I7*Assumptions!$E$17</f>
        <v/>
      </c>
    </row>
    <row r="26">
      <c r="B26" s="33" t="inlineStr">
        <is>
          <t>(–) Δ Net working capital</t>
        </is>
      </c>
      <c r="C26" s="20" t="n">
        <v>0</v>
      </c>
      <c r="D26" s="34">
        <f>(D7-C7)*Assumptions!$E$18</f>
        <v/>
      </c>
      <c r="E26" s="34">
        <f>(E7-D7)*Assumptions!$E$18</f>
        <v/>
      </c>
      <c r="F26" s="34">
        <f>(F7-E7)*Assumptions!$E$18</f>
        <v/>
      </c>
      <c r="G26" s="34">
        <f>(G7-F7)*Assumptions!$E$18</f>
        <v/>
      </c>
      <c r="H26" s="34">
        <f>(H7-G7)*Assumptions!$E$18</f>
        <v/>
      </c>
      <c r="I26" s="34">
        <f>(I7-H7)*Assumptions!$E$18</f>
        <v/>
      </c>
    </row>
    <row r="27">
      <c r="B27" s="13" t="inlineStr">
        <is>
          <t>Unlevered Free Cash Flow ($M)</t>
        </is>
      </c>
      <c r="C27" s="30">
        <f>C23+C24-C25-C26</f>
        <v/>
      </c>
      <c r="D27" s="30">
        <f>D23+D24-D25-D26</f>
        <v/>
      </c>
      <c r="E27" s="30">
        <f>E23+E24-E25-E26</f>
        <v/>
      </c>
      <c r="F27" s="30">
        <f>F23+F24-F25-F26</f>
        <v/>
      </c>
      <c r="G27" s="30">
        <f>G23+G24-G25-G26</f>
        <v/>
      </c>
      <c r="H27" s="30">
        <f>H23+H24-H25-H26</f>
        <v/>
      </c>
      <c r="I27" s="30">
        <f>I23+I24-I25-I26</f>
        <v/>
      </c>
    </row>
    <row r="28">
      <c r="B28" s="19" t="inlineStr">
        <is>
          <t xml:space="preserve">  FCF margin %</t>
        </is>
      </c>
      <c r="C28" s="32">
        <f>IFERROR(C27/C7,0)</f>
        <v/>
      </c>
      <c r="D28" s="32">
        <f>IFERROR(D27/D7,0)</f>
        <v/>
      </c>
      <c r="E28" s="32">
        <f>IFERROR(E27/E7,0)</f>
        <v/>
      </c>
      <c r="F28" s="32">
        <f>IFERROR(F27/F7,0)</f>
        <v/>
      </c>
      <c r="G28" s="32">
        <f>IFERROR(G27/G7,0)</f>
        <v/>
      </c>
      <c r="H28" s="32">
        <f>IFERROR(H27/H7,0)</f>
        <v/>
      </c>
      <c r="I28" s="32">
        <f>IFERROR(I27/I7,0)</f>
        <v/>
      </c>
    </row>
    <row r="30" ht="22" customHeight="1">
      <c r="B30" s="3" t="inlineStr">
        <is>
          <t xml:space="preserve">  4. WACC &amp; Discounting</t>
        </is>
      </c>
    </row>
    <row r="31">
      <c r="B31" s="13" t="inlineStr">
        <is>
          <t>WACC</t>
        </is>
      </c>
      <c r="C31" s="31" t="inlineStr">
        <is>
          <t>—</t>
        </is>
      </c>
      <c r="D31" s="36">
        <f>Assumptions!$E$28</f>
        <v/>
      </c>
      <c r="E31" s="36">
        <f>Assumptions!$E$28</f>
        <v/>
      </c>
      <c r="F31" s="36">
        <f>Assumptions!$E$28</f>
        <v/>
      </c>
      <c r="G31" s="36">
        <f>Assumptions!$E$28</f>
        <v/>
      </c>
      <c r="H31" s="36">
        <f>Assumptions!$E$28</f>
        <v/>
      </c>
      <c r="I31" s="36">
        <f>Assumptions!$E$28</f>
        <v/>
      </c>
    </row>
    <row r="32">
      <c r="B32" s="33" t="inlineStr">
        <is>
          <t xml:space="preserve">  Discount period (yrs, mid-year)</t>
        </is>
      </c>
      <c r="C32" s="31" t="inlineStr">
        <is>
          <t>—</t>
        </is>
      </c>
      <c r="D32" s="37">
        <f>1-0.5</f>
        <v/>
      </c>
      <c r="E32" s="37">
        <f>2-0.5</f>
        <v/>
      </c>
      <c r="F32" s="37">
        <f>3-0.5</f>
        <v/>
      </c>
      <c r="G32" s="37">
        <f>4-0.5</f>
        <v/>
      </c>
      <c r="H32" s="37">
        <f>5-0.5</f>
        <v/>
      </c>
      <c r="I32" s="31" t="inlineStr">
        <is>
          <t>—</t>
        </is>
      </c>
    </row>
    <row r="33">
      <c r="B33" s="19" t="inlineStr">
        <is>
          <t xml:space="preserve">  Discount factor</t>
        </is>
      </c>
      <c r="D33" s="37">
        <f>1/(1+D31)^D32</f>
        <v/>
      </c>
      <c r="E33" s="37">
        <f>1/(1+E31)^E32</f>
        <v/>
      </c>
      <c r="F33" s="37">
        <f>1/(1+F31)^F32</f>
        <v/>
      </c>
      <c r="G33" s="37">
        <f>1/(1+G31)^G32</f>
        <v/>
      </c>
      <c r="H33" s="37">
        <f>1/(1+H31)^H32</f>
        <v/>
      </c>
    </row>
    <row r="34">
      <c r="B34" s="13" t="inlineStr">
        <is>
          <t>PV of unlevered FCF ($M)</t>
        </is>
      </c>
      <c r="C34" s="38" t="n"/>
      <c r="D34" s="30">
        <f>D27*D33</f>
        <v/>
      </c>
      <c r="E34" s="30">
        <f>E27*E33</f>
        <v/>
      </c>
      <c r="F34" s="30">
        <f>F27*F33</f>
        <v/>
      </c>
      <c r="G34" s="30">
        <f>G27*G33</f>
        <v/>
      </c>
      <c r="H34" s="30">
        <f>H27*H33</f>
        <v/>
      </c>
      <c r="I34" s="38" t="n"/>
    </row>
    <row r="35">
      <c r="B35" s="13" t="inlineStr">
        <is>
          <t>Sum PV of explicit FCF ($M)</t>
        </is>
      </c>
      <c r="C35" s="30">
        <f>SUM(D34:H34)</f>
        <v/>
      </c>
      <c r="D35" s="38" t="n"/>
      <c r="E35" s="38" t="n"/>
    </row>
    <row r="37" ht="22" customHeight="1">
      <c r="B37" s="3" t="inlineStr">
        <is>
          <t xml:space="preserve">  5. Terminal Value</t>
        </is>
      </c>
    </row>
    <row r="38">
      <c r="B38" s="33" t="inlineStr">
        <is>
          <t>Terminal Year EBITDA ($M)</t>
        </is>
      </c>
      <c r="C38" s="31" t="inlineStr">
        <is>
          <t>—</t>
        </is>
      </c>
      <c r="H38" s="35">
        <f>H14</f>
        <v/>
      </c>
    </row>
    <row r="39">
      <c r="B39" s="33" t="inlineStr">
        <is>
          <t>Terminal year FCF ($M)</t>
        </is>
      </c>
      <c r="C39" s="31" t="inlineStr">
        <is>
          <t>—</t>
        </is>
      </c>
      <c r="H39" s="35">
        <f>H27</f>
        <v/>
      </c>
    </row>
    <row r="40">
      <c r="B40" s="33" t="inlineStr">
        <is>
          <t>Terminal growth rate (g)</t>
        </is>
      </c>
      <c r="C40" s="31" t="inlineStr">
        <is>
          <t>—</t>
        </is>
      </c>
      <c r="H40" s="39">
        <f>Assumptions!E10</f>
        <v/>
      </c>
    </row>
    <row r="41">
      <c r="B41" s="19" t="inlineStr">
        <is>
          <t>WACC – g</t>
        </is>
      </c>
      <c r="C41" s="31" t="inlineStr">
        <is>
          <t>—</t>
        </is>
      </c>
      <c r="H41" s="32">
        <f>H31-H40</f>
        <v/>
      </c>
    </row>
    <row r="42">
      <c r="B42" s="13" t="inlineStr">
        <is>
          <t>Terminal Value (Gordon) ($M)</t>
        </is>
      </c>
      <c r="C42" s="38" t="n"/>
      <c r="D42" s="38" t="n"/>
      <c r="E42" s="38" t="n"/>
      <c r="F42" s="38" t="n"/>
      <c r="G42" s="38" t="n"/>
      <c r="H42" s="30">
        <f>H27*(1+H40)/(H31-H40)</f>
        <v/>
      </c>
    </row>
    <row r="43">
      <c r="B43" s="22" t="inlineStr">
        <is>
          <t xml:space="preserve">  PV of Terminal Value ($M)</t>
        </is>
      </c>
      <c r="H43" s="40">
        <f>H42*H33</f>
        <v/>
      </c>
    </row>
    <row r="45">
      <c r="B45" s="33" t="inlineStr">
        <is>
          <t>Exit EV/EBITDA multiple (x)</t>
        </is>
      </c>
      <c r="C45" s="31" t="inlineStr">
        <is>
          <t>—</t>
        </is>
      </c>
      <c r="H45" s="41">
        <f>Assumptions!E32</f>
        <v/>
      </c>
    </row>
    <row r="46">
      <c r="B46" s="33" t="inlineStr">
        <is>
          <t>Terminal Value (Exit Mult.) ($M)</t>
        </is>
      </c>
      <c r="H46" s="34">
        <f>H14*H45</f>
        <v/>
      </c>
    </row>
    <row r="47">
      <c r="B47" s="19" t="inlineStr">
        <is>
          <t xml:space="preserve">  PV of TV (Exit Mult.) ($M)</t>
        </is>
      </c>
      <c r="H47" s="34">
        <f>H46*H33</f>
        <v/>
      </c>
    </row>
    <row r="49" ht="22" customHeight="1">
      <c r="B49" s="3" t="inlineStr">
        <is>
          <t xml:space="preserve">  6. Enterprise &amp; Equity Value</t>
        </is>
      </c>
    </row>
    <row r="50">
      <c r="B50" s="33" t="inlineStr">
        <is>
          <t>Sum PV of explicit FCF ($M)</t>
        </is>
      </c>
      <c r="C50" s="42">
        <f>C35</f>
        <v/>
      </c>
    </row>
    <row r="51">
      <c r="B51" s="33" t="inlineStr">
        <is>
          <t>(+) PV of Terminal Value ($M)</t>
        </is>
      </c>
      <c r="C51" s="42">
        <f>H43</f>
        <v/>
      </c>
    </row>
    <row r="52">
      <c r="B52" s="13" t="inlineStr">
        <is>
          <t>Enterprise Value ($M)</t>
        </is>
      </c>
      <c r="C52" s="30">
        <f>C50+C51</f>
        <v/>
      </c>
      <c r="D52" s="38" t="n"/>
      <c r="E52" s="38" t="n"/>
    </row>
    <row r="53">
      <c r="B53" s="33" t="inlineStr">
        <is>
          <t>(–) Total debt ($M)</t>
        </is>
      </c>
      <c r="C53" s="35">
        <f>Assumptions!$E$35</f>
        <v/>
      </c>
    </row>
    <row r="54">
      <c r="B54" s="33" t="inlineStr">
        <is>
          <t>(+) Cash &amp; equivalents ($M)</t>
        </is>
      </c>
      <c r="C54" s="35">
        <f>Assumptions!$E$36</f>
        <v/>
      </c>
    </row>
    <row r="55">
      <c r="B55" s="13" t="inlineStr">
        <is>
          <t>Equity Value ($M)</t>
        </is>
      </c>
      <c r="C55" s="30">
        <f>C52-C53+C54</f>
        <v/>
      </c>
      <c r="D55" s="38" t="n"/>
      <c r="E55" s="38" t="n"/>
    </row>
    <row r="56">
      <c r="B56" s="33" t="inlineStr">
        <is>
          <t>(÷) Shares outstanding (M)</t>
        </is>
      </c>
      <c r="C56" s="43">
        <f>Assumptions!$E$37</f>
        <v/>
      </c>
    </row>
    <row r="57">
      <c r="B57" s="13" t="inlineStr">
        <is>
          <t>Implied share price ($)</t>
        </is>
      </c>
      <c r="C57" s="44">
        <f>IFERROR(C55/C56,0)</f>
        <v/>
      </c>
      <c r="D57" s="38" t="n"/>
      <c r="E57" s="38" t="n"/>
    </row>
    <row r="58">
      <c r="B58" s="33" t="inlineStr">
        <is>
          <t>Current share price ($)</t>
        </is>
      </c>
      <c r="C58" s="45">
        <f>Assumptions!$E$38</f>
        <v/>
      </c>
    </row>
    <row r="59">
      <c r="B59" s="13" t="inlineStr">
        <is>
          <t>Upside / (Downside) %</t>
        </is>
      </c>
      <c r="C59" s="46">
        <f>IFERROR(C57/C58-1,0)</f>
        <v/>
      </c>
    </row>
    <row r="61">
      <c r="B61" s="47" t="inlineStr">
        <is>
          <t>Cross-check: Exit Multiple method</t>
        </is>
      </c>
    </row>
    <row r="62">
      <c r="B62" s="33" t="inlineStr">
        <is>
          <t>EV (Exit Multiple method) ($M)</t>
        </is>
      </c>
      <c r="C62" s="34">
        <f>C50+H47</f>
        <v/>
      </c>
    </row>
    <row r="63">
      <c r="B63" s="33" t="inlineStr">
        <is>
          <t>Equity Value (Exit Mult.) ($M)</t>
        </is>
      </c>
      <c r="C63" s="34">
        <f>C62-C53+C54</f>
        <v/>
      </c>
    </row>
    <row r="64">
      <c r="B64" s="33" t="inlineStr">
        <is>
          <t>Implied price (Exit Mult.) ($)</t>
        </is>
      </c>
      <c r="C64" s="48">
        <f>IFERROR(C63/C56,0)</f>
        <v/>
      </c>
    </row>
    <row r="66" ht="36" customHeight="1">
      <c r="B66" s="11" t="inlineStr">
        <is>
          <t>Notes: Mid-year discounting convention applied to explicit forecast period. Terminal value computed via Gordon Growth (primary) and Exit EV/EBITDA (cross-check). All blue cells are inputs on the Assumptions sheet — modify there to update all scenarios.</t>
        </is>
      </c>
    </row>
  </sheetData>
  <mergeCells count="24">
    <mergeCell ref="C54:E54"/>
    <mergeCell ref="C50:E50"/>
    <mergeCell ref="C55:E55"/>
    <mergeCell ref="B22:I22"/>
    <mergeCell ref="C56:E56"/>
    <mergeCell ref="C59:E59"/>
    <mergeCell ref="C51:E51"/>
    <mergeCell ref="C52:E52"/>
    <mergeCell ref="B61:F61"/>
    <mergeCell ref="B3:K3"/>
    <mergeCell ref="B66:K66"/>
    <mergeCell ref="C57:E57"/>
    <mergeCell ref="C53:E53"/>
    <mergeCell ref="B10:I10"/>
    <mergeCell ref="B37:I37"/>
    <mergeCell ref="B2:K2"/>
    <mergeCell ref="B49:I49"/>
    <mergeCell ref="C62:E62"/>
    <mergeCell ref="C58:E58"/>
    <mergeCell ref="B30:I30"/>
    <mergeCell ref="B6:I6"/>
    <mergeCell ref="C64:E64"/>
    <mergeCell ref="C35:E35"/>
    <mergeCell ref="C63:E63"/>
  </mergeCells>
  <conditionalFormatting sqref="C59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G25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3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8" customHeight="1"/>
    <row r="2" ht="30" customHeight="1">
      <c r="B2" s="1" t="inlineStr">
        <is>
          <t>Scenario Summary — Bear / Base / Bull</t>
        </is>
      </c>
    </row>
    <row r="3" ht="6" customHeight="1"/>
    <row r="4" ht="24" customHeight="1">
      <c r="B4" s="12" t="inlineStr">
        <is>
          <t>Metric</t>
        </is>
      </c>
      <c r="C4" s="12" t="inlineStr">
        <is>
          <t>Bear</t>
        </is>
      </c>
      <c r="D4" s="12" t="inlineStr">
        <is>
          <t>Base</t>
        </is>
      </c>
      <c r="E4" s="12" t="inlineStr">
        <is>
          <t>Bull</t>
        </is>
      </c>
      <c r="F4" s="12" t="inlineStr">
        <is>
          <t>Unit</t>
        </is>
      </c>
    </row>
    <row r="5">
      <c r="B5" s="19" t="inlineStr">
        <is>
          <t>5-year revenue CAGR</t>
        </is>
      </c>
      <c r="C5" s="39">
        <f>Assumptions!C9</f>
        <v/>
      </c>
      <c r="D5" s="39">
        <f>Assumptions!D9</f>
        <v/>
      </c>
      <c r="E5" s="39">
        <f>Assumptions!E9</f>
        <v/>
      </c>
      <c r="F5" s="21" t="inlineStr"/>
    </row>
    <row r="6">
      <c r="B6" s="19" t="inlineStr">
        <is>
          <t>Terminal growth rate (g)</t>
        </is>
      </c>
      <c r="C6" s="39">
        <f>Assumptions!C10</f>
        <v/>
      </c>
      <c r="D6" s="39">
        <f>Assumptions!D10</f>
        <v/>
      </c>
      <c r="E6" s="39">
        <f>Assumptions!E10</f>
        <v/>
      </c>
      <c r="F6" s="21" t="inlineStr"/>
    </row>
    <row r="7">
      <c r="B7" s="19" t="inlineStr">
        <is>
          <t>WACC</t>
        </is>
      </c>
      <c r="C7" s="39">
        <f>Assumptions!C28</f>
        <v/>
      </c>
      <c r="D7" s="39">
        <f>Assumptions!D28</f>
        <v/>
      </c>
      <c r="E7" s="39">
        <f>Assumptions!E28</f>
        <v/>
      </c>
      <c r="F7" s="21" t="inlineStr"/>
    </row>
    <row r="8">
      <c r="B8" s="19" t="inlineStr">
        <is>
          <t>Exit EV/EBITDA multiple</t>
        </is>
      </c>
      <c r="C8" s="41">
        <f>Assumptions!C32</f>
        <v/>
      </c>
      <c r="D8" s="41">
        <f>Assumptions!D32</f>
        <v/>
      </c>
      <c r="E8" s="41">
        <f>Assumptions!E32</f>
        <v/>
      </c>
      <c r="F8" s="21" t="inlineStr"/>
    </row>
    <row r="10" ht="22" customHeight="1">
      <c r="B10" s="3" t="inlineStr">
        <is>
          <t xml:space="preserve">  Valuation Outputs</t>
        </is>
      </c>
    </row>
    <row r="11">
      <c r="B11" s="19" t="inlineStr">
        <is>
          <t>Sum PV of explicit FCF ($M)</t>
        </is>
      </c>
      <c r="C11" s="35">
        <f>'Bear_Case'!C35</f>
        <v/>
      </c>
      <c r="D11" s="35">
        <f>'Base_Case'!C35</f>
        <v/>
      </c>
      <c r="E11" s="35">
        <f>'Bull_Case'!C35</f>
        <v/>
      </c>
    </row>
    <row r="12">
      <c r="B12" s="19" t="inlineStr">
        <is>
          <t>PV of Terminal Value ($M)</t>
        </is>
      </c>
      <c r="C12" s="35">
        <f>'Bear_Case'!H43</f>
        <v/>
      </c>
      <c r="D12" s="35">
        <f>'Base_Case'!H43</f>
        <v/>
      </c>
      <c r="E12" s="35">
        <f>'Bull_Case'!H43</f>
        <v/>
      </c>
    </row>
    <row r="13">
      <c r="B13" s="22" t="inlineStr">
        <is>
          <t>Enterprise Value ($M)</t>
        </is>
      </c>
      <c r="C13" s="42">
        <f>'Bear_Case'!C52</f>
        <v/>
      </c>
      <c r="D13" s="42">
        <f>'Base_Case'!C52</f>
        <v/>
      </c>
      <c r="E13" s="42">
        <f>'Bull_Case'!C52</f>
        <v/>
      </c>
    </row>
    <row r="14">
      <c r="B14" s="22" t="inlineStr">
        <is>
          <t>Equity Value ($M)</t>
        </is>
      </c>
      <c r="C14" s="42">
        <f>'Bear_Case'!C55</f>
        <v/>
      </c>
      <c r="D14" s="42">
        <f>'Base_Case'!C55</f>
        <v/>
      </c>
      <c r="E14" s="42">
        <f>'Bull_Case'!C55</f>
        <v/>
      </c>
    </row>
    <row r="15">
      <c r="B15" s="22" t="inlineStr">
        <is>
          <t>Implied share price ($)</t>
        </is>
      </c>
      <c r="C15" s="51">
        <f>'Bear_Case'!C57</f>
        <v/>
      </c>
      <c r="D15" s="51">
        <f>'Base_Case'!C57</f>
        <v/>
      </c>
      <c r="E15" s="51">
        <f>'Bull_Case'!C57</f>
        <v/>
      </c>
    </row>
    <row r="16">
      <c r="B16" s="19" t="inlineStr">
        <is>
          <t>Upside / (Downside) %</t>
        </is>
      </c>
      <c r="C16" s="39">
        <f>'Bear_Case'!C59</f>
        <v/>
      </c>
      <c r="D16" s="39">
        <f>'Base_Case'!C59</f>
        <v/>
      </c>
      <c r="E16" s="39">
        <f>'Bull_Case'!C59</f>
        <v/>
      </c>
    </row>
    <row r="18" ht="22" customHeight="1">
      <c r="B18" s="3" t="inlineStr">
        <is>
          <t xml:space="preserve">  Probability-Weighted Valuation</t>
        </is>
      </c>
    </row>
    <row r="19">
      <c r="B19" s="19" t="inlineStr">
        <is>
          <t>Scenario probability</t>
        </is>
      </c>
      <c r="C19" s="23" t="n">
        <v>0.25</v>
      </c>
      <c r="D19" s="23" t="n">
        <v>0.5</v>
      </c>
      <c r="E19" s="23" t="n">
        <v>0.25</v>
      </c>
      <c r="F19" s="21" t="inlineStr">
        <is>
          <t>%</t>
        </is>
      </c>
    </row>
    <row r="20">
      <c r="B20" s="13" t="inlineStr">
        <is>
          <t>Probability-weighted EV ($M)</t>
        </is>
      </c>
      <c r="C20" s="34">
        <f>'Bear_Case'!C52*C19</f>
        <v/>
      </c>
      <c r="D20" s="34">
        <f>'Base_Case'!C52*D19</f>
        <v/>
      </c>
      <c r="E20" s="34">
        <f>'Bull_Case'!C52*E19</f>
        <v/>
      </c>
      <c r="F20" s="52" t="inlineStr">
        <is>
          <t>Blended:</t>
        </is>
      </c>
      <c r="G20" s="40">
        <f>SUMPRODUCT(C20:E20,C19:E19)</f>
        <v/>
      </c>
    </row>
    <row r="21">
      <c r="B21" s="13" t="inlineStr">
        <is>
          <t>Probability-weighted Equity Value ($M)</t>
        </is>
      </c>
      <c r="C21" s="34">
        <f>'Bear_Case'!C55*C19</f>
        <v/>
      </c>
      <c r="D21" s="34">
        <f>'Base_Case'!C55*D19</f>
        <v/>
      </c>
      <c r="E21" s="34">
        <f>'Bull_Case'!C55*E19</f>
        <v/>
      </c>
    </row>
    <row r="22">
      <c r="B22" s="13" t="inlineStr">
        <is>
          <t>Probability-weighted share price ($)</t>
        </is>
      </c>
      <c r="C22" s="48">
        <f>'Bear_Case'!C57*C19</f>
        <v/>
      </c>
      <c r="D22" s="48">
        <f>'Base_Case'!C57*D19</f>
        <v/>
      </c>
      <c r="E22" s="48">
        <f>'Bull_Case'!C57*E19</f>
        <v/>
      </c>
    </row>
    <row r="23">
      <c r="B23" s="13" t="inlineStr">
        <is>
          <t>Blended upside / (downside) %</t>
        </is>
      </c>
      <c r="C23" s="46">
        <f>SUM(C22:E22)/Assumptions!D38-1</f>
        <v/>
      </c>
    </row>
    <row r="25" ht="40" customHeight="1">
      <c r="B25" s="11" t="inlineStr">
        <is>
          <t>Note: Probability weights are illustrative (25/50/25). Adjust the input cells to reflect your own scenario conviction. All scenario outputs flow from the Assumptions sheet — change any blue input there to update the entire model.</t>
        </is>
      </c>
    </row>
  </sheetData>
  <mergeCells count="5">
    <mergeCell ref="B2:F2"/>
    <mergeCell ref="B10:F10"/>
    <mergeCell ref="B25:F25"/>
    <mergeCell ref="C23:E23"/>
    <mergeCell ref="B18:F18"/>
  </mergeCells>
  <conditionalFormatting sqref="C16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D16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E16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C23">
    <cfRule type="cellIs" priority="7" operator="greaterThan" dxfId="0">
      <formula>0</formula>
    </cfRule>
    <cfRule type="cellIs" priority="8" operator="lessThan" dxfId="1">
      <formula>0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K22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 ht="8" customHeight="1"/>
    <row r="2" ht="30" customHeight="1">
      <c r="B2" s="1" t="inlineStr">
        <is>
          <t>WACC Sensitivity — Implied Share Price ($)</t>
        </is>
      </c>
    </row>
    <row r="3" ht="6" customHeight="1"/>
    <row r="4" ht="36" customHeight="1">
      <c r="B4" s="11" t="inlineStr">
        <is>
          <t>Two-way sensitivity table: rows = WACC, columns = Terminal Growth Rate (g). Cell values = implied share price ($) under Base case assumptions. Base case WACC and g highlighted in yellow.</t>
        </is>
      </c>
    </row>
    <row r="6" ht="22" customHeight="1">
      <c r="B6" s="3" t="inlineStr">
        <is>
          <t xml:space="preserve">  Implied Share Price ($) — Base Case</t>
        </is>
      </c>
    </row>
    <row r="7" ht="24" customHeight="1">
      <c r="B7" s="53" t="inlineStr">
        <is>
          <t>WACC \ g</t>
        </is>
      </c>
      <c r="C7" s="54" t="n">
        <v>0.015</v>
      </c>
      <c r="D7" s="54" t="n">
        <v>0.02</v>
      </c>
      <c r="E7" s="54" t="n">
        <v>0.025</v>
      </c>
      <c r="F7" s="55" t="n">
        <v>0.03</v>
      </c>
      <c r="G7" s="54" t="n">
        <v>0.035</v>
      </c>
      <c r="H7" s="54" t="n">
        <v>0.04</v>
      </c>
      <c r="I7" s="54" t="n">
        <v>0.045</v>
      </c>
      <c r="J7" s="54" t="n">
        <v>0.05</v>
      </c>
      <c r="K7" s="54" t="n">
        <v>0.055</v>
      </c>
    </row>
    <row r="8" ht="20" customHeight="1">
      <c r="B8" s="56" t="n">
        <v>0.08</v>
      </c>
      <c r="C8" s="48">
        <f>IFERROR((((Base_Case!D27/(1+$B8)^0.5+Base_Case!E27/(1+$B8)^1.5+Base_Case!F27/(1+$B8)^2.5+Base_Case!G27/(1+$B8)^3.5+Base_Case!H27/(1+$B8)^4.5)+Base_Case!H27*(1+C$7)/($B8-C$7)/(1+$B8)^4.5)-Assumptions!D35+Assumptions!D36)/Assumptions!D37,0)</f>
        <v/>
      </c>
      <c r="D8" s="48">
        <f>IFERROR((((Base_Case!D27/(1+$B8)^0.5+Base_Case!E27/(1+$B8)^1.5+Base_Case!F27/(1+$B8)^2.5+Base_Case!G27/(1+$B8)^3.5+Base_Case!H27/(1+$B8)^4.5)+Base_Case!H27*(1+D$7)/($B8-D$7)/(1+$B8)^4.5)-Assumptions!D35+Assumptions!D36)/Assumptions!D37,0)</f>
        <v/>
      </c>
      <c r="E8" s="48">
        <f>IFERROR((((Base_Case!D27/(1+$B8)^0.5+Base_Case!E27/(1+$B8)^1.5+Base_Case!F27/(1+$B8)^2.5+Base_Case!G27/(1+$B8)^3.5+Base_Case!H27/(1+$B8)^4.5)+Base_Case!H27*(1+E$7)/($B8-E$7)/(1+$B8)^4.5)-Assumptions!D35+Assumptions!D36)/Assumptions!D37,0)</f>
        <v/>
      </c>
      <c r="F8" s="48">
        <f>IFERROR((((Base_Case!D27/(1+$B8)^0.5+Base_Case!E27/(1+$B8)^1.5+Base_Case!F27/(1+$B8)^2.5+Base_Case!G27/(1+$B8)^3.5+Base_Case!H27/(1+$B8)^4.5)+Base_Case!H27*(1+F$7)/($B8-F$7)/(1+$B8)^4.5)-Assumptions!D35+Assumptions!D36)/Assumptions!D37,0)</f>
        <v/>
      </c>
      <c r="G8" s="48">
        <f>IFERROR((((Base_Case!D27/(1+$B8)^0.5+Base_Case!E27/(1+$B8)^1.5+Base_Case!F27/(1+$B8)^2.5+Base_Case!G27/(1+$B8)^3.5+Base_Case!H27/(1+$B8)^4.5)+Base_Case!H27*(1+G$7)/($B8-G$7)/(1+$B8)^4.5)-Assumptions!D35+Assumptions!D36)/Assumptions!D37,0)</f>
        <v/>
      </c>
      <c r="H8" s="48">
        <f>IFERROR((((Base_Case!D27/(1+$B8)^0.5+Base_Case!E27/(1+$B8)^1.5+Base_Case!F27/(1+$B8)^2.5+Base_Case!G27/(1+$B8)^3.5+Base_Case!H27/(1+$B8)^4.5)+Base_Case!H27*(1+H$7)/($B8-H$7)/(1+$B8)^4.5)-Assumptions!D35+Assumptions!D36)/Assumptions!D37,0)</f>
        <v/>
      </c>
      <c r="I8" s="48">
        <f>IFERROR((((Base_Case!D27/(1+$B8)^0.5+Base_Case!E27/(1+$B8)^1.5+Base_Case!F27/(1+$B8)^2.5+Base_Case!G27/(1+$B8)^3.5+Base_Case!H27/(1+$B8)^4.5)+Base_Case!H27*(1+I$7)/($B8-I$7)/(1+$B8)^4.5)-Assumptions!D35+Assumptions!D36)/Assumptions!D37,0)</f>
        <v/>
      </c>
      <c r="J8" s="48">
        <f>IFERROR((((Base_Case!D27/(1+$B8)^0.5+Base_Case!E27/(1+$B8)^1.5+Base_Case!F27/(1+$B8)^2.5+Base_Case!G27/(1+$B8)^3.5+Base_Case!H27/(1+$B8)^4.5)+Base_Case!H27*(1+J$7)/($B8-J$7)/(1+$B8)^4.5)-Assumptions!D35+Assumptions!D36)/Assumptions!D37,0)</f>
        <v/>
      </c>
      <c r="K8" s="48">
        <f>IFERROR((((Base_Case!D27/(1+$B8)^0.5+Base_Case!E27/(1+$B8)^1.5+Base_Case!F27/(1+$B8)^2.5+Base_Case!G27/(1+$B8)^3.5+Base_Case!H27/(1+$B8)^4.5)+Base_Case!H27*(1+K$7)/($B8-K$7)/(1+$B8)^4.5)-Assumptions!D35+Assumptions!D36)/Assumptions!D37,0)</f>
        <v/>
      </c>
    </row>
    <row r="9" ht="20" customHeight="1">
      <c r="B9" s="56" t="n">
        <v>0.09</v>
      </c>
      <c r="C9" s="48">
        <f>IFERROR((((Base_Case!D27/(1+$B9)^0.5+Base_Case!E27/(1+$B9)^1.5+Base_Case!F27/(1+$B9)^2.5+Base_Case!G27/(1+$B9)^3.5+Base_Case!H27/(1+$B9)^4.5)+Base_Case!H27*(1+C$7)/($B9-C$7)/(1+$B9)^4.5)-Assumptions!D35+Assumptions!D36)/Assumptions!D37,0)</f>
        <v/>
      </c>
      <c r="D9" s="48">
        <f>IFERROR((((Base_Case!D27/(1+$B9)^0.5+Base_Case!E27/(1+$B9)^1.5+Base_Case!F27/(1+$B9)^2.5+Base_Case!G27/(1+$B9)^3.5+Base_Case!H27/(1+$B9)^4.5)+Base_Case!H27*(1+D$7)/($B9-D$7)/(1+$B9)^4.5)-Assumptions!D35+Assumptions!D36)/Assumptions!D37,0)</f>
        <v/>
      </c>
      <c r="E9" s="48">
        <f>IFERROR((((Base_Case!D27/(1+$B9)^0.5+Base_Case!E27/(1+$B9)^1.5+Base_Case!F27/(1+$B9)^2.5+Base_Case!G27/(1+$B9)^3.5+Base_Case!H27/(1+$B9)^4.5)+Base_Case!H27*(1+E$7)/($B9-E$7)/(1+$B9)^4.5)-Assumptions!D35+Assumptions!D36)/Assumptions!D37,0)</f>
        <v/>
      </c>
      <c r="F9" s="48">
        <f>IFERROR((((Base_Case!D27/(1+$B9)^0.5+Base_Case!E27/(1+$B9)^1.5+Base_Case!F27/(1+$B9)^2.5+Base_Case!G27/(1+$B9)^3.5+Base_Case!H27/(1+$B9)^4.5)+Base_Case!H27*(1+F$7)/($B9-F$7)/(1+$B9)^4.5)-Assumptions!D35+Assumptions!D36)/Assumptions!D37,0)</f>
        <v/>
      </c>
      <c r="G9" s="48">
        <f>IFERROR((((Base_Case!D27/(1+$B9)^0.5+Base_Case!E27/(1+$B9)^1.5+Base_Case!F27/(1+$B9)^2.5+Base_Case!G27/(1+$B9)^3.5+Base_Case!H27/(1+$B9)^4.5)+Base_Case!H27*(1+G$7)/($B9-G$7)/(1+$B9)^4.5)-Assumptions!D35+Assumptions!D36)/Assumptions!D37,0)</f>
        <v/>
      </c>
      <c r="H9" s="48">
        <f>IFERROR((((Base_Case!D27/(1+$B9)^0.5+Base_Case!E27/(1+$B9)^1.5+Base_Case!F27/(1+$B9)^2.5+Base_Case!G27/(1+$B9)^3.5+Base_Case!H27/(1+$B9)^4.5)+Base_Case!H27*(1+H$7)/($B9-H$7)/(1+$B9)^4.5)-Assumptions!D35+Assumptions!D36)/Assumptions!D37,0)</f>
        <v/>
      </c>
      <c r="I9" s="48">
        <f>IFERROR((((Base_Case!D27/(1+$B9)^0.5+Base_Case!E27/(1+$B9)^1.5+Base_Case!F27/(1+$B9)^2.5+Base_Case!G27/(1+$B9)^3.5+Base_Case!H27/(1+$B9)^4.5)+Base_Case!H27*(1+I$7)/($B9-I$7)/(1+$B9)^4.5)-Assumptions!D35+Assumptions!D36)/Assumptions!D37,0)</f>
        <v/>
      </c>
      <c r="J9" s="48">
        <f>IFERROR((((Base_Case!D27/(1+$B9)^0.5+Base_Case!E27/(1+$B9)^1.5+Base_Case!F27/(1+$B9)^2.5+Base_Case!G27/(1+$B9)^3.5+Base_Case!H27/(1+$B9)^4.5)+Base_Case!H27*(1+J$7)/($B9-J$7)/(1+$B9)^4.5)-Assumptions!D35+Assumptions!D36)/Assumptions!D37,0)</f>
        <v/>
      </c>
      <c r="K9" s="48">
        <f>IFERROR((((Base_Case!D27/(1+$B9)^0.5+Base_Case!E27/(1+$B9)^1.5+Base_Case!F27/(1+$B9)^2.5+Base_Case!G27/(1+$B9)^3.5+Base_Case!H27/(1+$B9)^4.5)+Base_Case!H27*(1+K$7)/($B9-K$7)/(1+$B9)^4.5)-Assumptions!D35+Assumptions!D36)/Assumptions!D37,0)</f>
        <v/>
      </c>
    </row>
    <row r="10" ht="20" customHeight="1">
      <c r="B10" s="56" t="n">
        <v>0.1</v>
      </c>
      <c r="C10" s="48">
        <f>IFERROR((((Base_Case!D27/(1+$B10)^0.5+Base_Case!E27/(1+$B10)^1.5+Base_Case!F27/(1+$B10)^2.5+Base_Case!G27/(1+$B10)^3.5+Base_Case!H27/(1+$B10)^4.5)+Base_Case!H27*(1+C$7)/($B10-C$7)/(1+$B10)^4.5)-Assumptions!D35+Assumptions!D36)/Assumptions!D37,0)</f>
        <v/>
      </c>
      <c r="D10" s="48">
        <f>IFERROR((((Base_Case!D27/(1+$B10)^0.5+Base_Case!E27/(1+$B10)^1.5+Base_Case!F27/(1+$B10)^2.5+Base_Case!G27/(1+$B10)^3.5+Base_Case!H27/(1+$B10)^4.5)+Base_Case!H27*(1+D$7)/($B10-D$7)/(1+$B10)^4.5)-Assumptions!D35+Assumptions!D36)/Assumptions!D37,0)</f>
        <v/>
      </c>
      <c r="E10" s="48">
        <f>IFERROR((((Base_Case!D27/(1+$B10)^0.5+Base_Case!E27/(1+$B10)^1.5+Base_Case!F27/(1+$B10)^2.5+Base_Case!G27/(1+$B10)^3.5+Base_Case!H27/(1+$B10)^4.5)+Base_Case!H27*(1+E$7)/($B10-E$7)/(1+$B10)^4.5)-Assumptions!D35+Assumptions!D36)/Assumptions!D37,0)</f>
        <v/>
      </c>
      <c r="F10" s="48">
        <f>IFERROR((((Base_Case!D27/(1+$B10)^0.5+Base_Case!E27/(1+$B10)^1.5+Base_Case!F27/(1+$B10)^2.5+Base_Case!G27/(1+$B10)^3.5+Base_Case!H27/(1+$B10)^4.5)+Base_Case!H27*(1+F$7)/($B10-F$7)/(1+$B10)^4.5)-Assumptions!D35+Assumptions!D36)/Assumptions!D37,0)</f>
        <v/>
      </c>
      <c r="G10" s="48">
        <f>IFERROR((((Base_Case!D27/(1+$B10)^0.5+Base_Case!E27/(1+$B10)^1.5+Base_Case!F27/(1+$B10)^2.5+Base_Case!G27/(1+$B10)^3.5+Base_Case!H27/(1+$B10)^4.5)+Base_Case!H27*(1+G$7)/($B10-G$7)/(1+$B10)^4.5)-Assumptions!D35+Assumptions!D36)/Assumptions!D37,0)</f>
        <v/>
      </c>
      <c r="H10" s="48">
        <f>IFERROR((((Base_Case!D27/(1+$B10)^0.5+Base_Case!E27/(1+$B10)^1.5+Base_Case!F27/(1+$B10)^2.5+Base_Case!G27/(1+$B10)^3.5+Base_Case!H27/(1+$B10)^4.5)+Base_Case!H27*(1+H$7)/($B10-H$7)/(1+$B10)^4.5)-Assumptions!D35+Assumptions!D36)/Assumptions!D37,0)</f>
        <v/>
      </c>
      <c r="I10" s="48">
        <f>IFERROR((((Base_Case!D27/(1+$B10)^0.5+Base_Case!E27/(1+$B10)^1.5+Base_Case!F27/(1+$B10)^2.5+Base_Case!G27/(1+$B10)^3.5+Base_Case!H27/(1+$B10)^4.5)+Base_Case!H27*(1+I$7)/($B10-I$7)/(1+$B10)^4.5)-Assumptions!D35+Assumptions!D36)/Assumptions!D37,0)</f>
        <v/>
      </c>
      <c r="J10" s="48">
        <f>IFERROR((((Base_Case!D27/(1+$B10)^0.5+Base_Case!E27/(1+$B10)^1.5+Base_Case!F27/(1+$B10)^2.5+Base_Case!G27/(1+$B10)^3.5+Base_Case!H27/(1+$B10)^4.5)+Base_Case!H27*(1+J$7)/($B10-J$7)/(1+$B10)^4.5)-Assumptions!D35+Assumptions!D36)/Assumptions!D37,0)</f>
        <v/>
      </c>
      <c r="K10" s="48">
        <f>IFERROR((((Base_Case!D27/(1+$B10)^0.5+Base_Case!E27/(1+$B10)^1.5+Base_Case!F27/(1+$B10)^2.5+Base_Case!G27/(1+$B10)^3.5+Base_Case!H27/(1+$B10)^4.5)+Base_Case!H27*(1+K$7)/($B10-K$7)/(1+$B10)^4.5)-Assumptions!D35+Assumptions!D36)/Assumptions!D37,0)</f>
        <v/>
      </c>
    </row>
    <row r="11" ht="20" customHeight="1">
      <c r="B11" s="56" t="n">
        <v>0.105</v>
      </c>
      <c r="C11" s="48">
        <f>IFERROR((((Base_Case!D27/(1+$B11)^0.5+Base_Case!E27/(1+$B11)^1.5+Base_Case!F27/(1+$B11)^2.5+Base_Case!G27/(1+$B11)^3.5+Base_Case!H27/(1+$B11)^4.5)+Base_Case!H27*(1+C$7)/($B11-C$7)/(1+$B11)^4.5)-Assumptions!D35+Assumptions!D36)/Assumptions!D37,0)</f>
        <v/>
      </c>
      <c r="D11" s="48">
        <f>IFERROR((((Base_Case!D27/(1+$B11)^0.5+Base_Case!E27/(1+$B11)^1.5+Base_Case!F27/(1+$B11)^2.5+Base_Case!G27/(1+$B11)^3.5+Base_Case!H27/(1+$B11)^4.5)+Base_Case!H27*(1+D$7)/($B11-D$7)/(1+$B11)^4.5)-Assumptions!D35+Assumptions!D36)/Assumptions!D37,0)</f>
        <v/>
      </c>
      <c r="E11" s="48">
        <f>IFERROR((((Base_Case!D27/(1+$B11)^0.5+Base_Case!E27/(1+$B11)^1.5+Base_Case!F27/(1+$B11)^2.5+Base_Case!G27/(1+$B11)^3.5+Base_Case!H27/(1+$B11)^4.5)+Base_Case!H27*(1+E$7)/($B11-E$7)/(1+$B11)^4.5)-Assumptions!D35+Assumptions!D36)/Assumptions!D37,0)</f>
        <v/>
      </c>
      <c r="F11" s="48">
        <f>IFERROR((((Base_Case!D27/(1+$B11)^0.5+Base_Case!E27/(1+$B11)^1.5+Base_Case!F27/(1+$B11)^2.5+Base_Case!G27/(1+$B11)^3.5+Base_Case!H27/(1+$B11)^4.5)+Base_Case!H27*(1+F$7)/($B11-F$7)/(1+$B11)^4.5)-Assumptions!D35+Assumptions!D36)/Assumptions!D37,0)</f>
        <v/>
      </c>
      <c r="G11" s="48">
        <f>IFERROR((((Base_Case!D27/(1+$B11)^0.5+Base_Case!E27/(1+$B11)^1.5+Base_Case!F27/(1+$B11)^2.5+Base_Case!G27/(1+$B11)^3.5+Base_Case!H27/(1+$B11)^4.5)+Base_Case!H27*(1+G$7)/($B11-G$7)/(1+$B11)^4.5)-Assumptions!D35+Assumptions!D36)/Assumptions!D37,0)</f>
        <v/>
      </c>
      <c r="H11" s="48">
        <f>IFERROR((((Base_Case!D27/(1+$B11)^0.5+Base_Case!E27/(1+$B11)^1.5+Base_Case!F27/(1+$B11)^2.5+Base_Case!G27/(1+$B11)^3.5+Base_Case!H27/(1+$B11)^4.5)+Base_Case!H27*(1+H$7)/($B11-H$7)/(1+$B11)^4.5)-Assumptions!D35+Assumptions!D36)/Assumptions!D37,0)</f>
        <v/>
      </c>
      <c r="I11" s="48">
        <f>IFERROR((((Base_Case!D27/(1+$B11)^0.5+Base_Case!E27/(1+$B11)^1.5+Base_Case!F27/(1+$B11)^2.5+Base_Case!G27/(1+$B11)^3.5+Base_Case!H27/(1+$B11)^4.5)+Base_Case!H27*(1+I$7)/($B11-I$7)/(1+$B11)^4.5)-Assumptions!D35+Assumptions!D36)/Assumptions!D37,0)</f>
        <v/>
      </c>
      <c r="J11" s="48">
        <f>IFERROR((((Base_Case!D27/(1+$B11)^0.5+Base_Case!E27/(1+$B11)^1.5+Base_Case!F27/(1+$B11)^2.5+Base_Case!G27/(1+$B11)^3.5+Base_Case!H27/(1+$B11)^4.5)+Base_Case!H27*(1+J$7)/($B11-J$7)/(1+$B11)^4.5)-Assumptions!D35+Assumptions!D36)/Assumptions!D37,0)</f>
        <v/>
      </c>
      <c r="K11" s="48">
        <f>IFERROR((((Base_Case!D27/(1+$B11)^0.5+Base_Case!E27/(1+$B11)^1.5+Base_Case!F27/(1+$B11)^2.5+Base_Case!G27/(1+$B11)^3.5+Base_Case!H27/(1+$B11)^4.5)+Base_Case!H27*(1+K$7)/($B11-K$7)/(1+$B11)^4.5)-Assumptions!D35+Assumptions!D36)/Assumptions!D37,0)</f>
        <v/>
      </c>
    </row>
    <row r="12" ht="20" customHeight="1">
      <c r="B12" s="56" t="n">
        <v>0.11</v>
      </c>
      <c r="C12" s="48">
        <f>IFERROR((((Base_Case!D27/(1+$B12)^0.5+Base_Case!E27/(1+$B12)^1.5+Base_Case!F27/(1+$B12)^2.5+Base_Case!G27/(1+$B12)^3.5+Base_Case!H27/(1+$B12)^4.5)+Base_Case!H27*(1+C$7)/($B12-C$7)/(1+$B12)^4.5)-Assumptions!D35+Assumptions!D36)/Assumptions!D37,0)</f>
        <v/>
      </c>
      <c r="D12" s="48">
        <f>IFERROR((((Base_Case!D27/(1+$B12)^0.5+Base_Case!E27/(1+$B12)^1.5+Base_Case!F27/(1+$B12)^2.5+Base_Case!G27/(1+$B12)^3.5+Base_Case!H27/(1+$B12)^4.5)+Base_Case!H27*(1+D$7)/($B12-D$7)/(1+$B12)^4.5)-Assumptions!D35+Assumptions!D36)/Assumptions!D37,0)</f>
        <v/>
      </c>
      <c r="E12" s="48">
        <f>IFERROR((((Base_Case!D27/(1+$B12)^0.5+Base_Case!E27/(1+$B12)^1.5+Base_Case!F27/(1+$B12)^2.5+Base_Case!G27/(1+$B12)^3.5+Base_Case!H27/(1+$B12)^4.5)+Base_Case!H27*(1+E$7)/($B12-E$7)/(1+$B12)^4.5)-Assumptions!D35+Assumptions!D36)/Assumptions!D37,0)</f>
        <v/>
      </c>
      <c r="F12" s="48">
        <f>IFERROR((((Base_Case!D27/(1+$B12)^0.5+Base_Case!E27/(1+$B12)^1.5+Base_Case!F27/(1+$B12)^2.5+Base_Case!G27/(1+$B12)^3.5+Base_Case!H27/(1+$B12)^4.5)+Base_Case!H27*(1+F$7)/($B12-F$7)/(1+$B12)^4.5)-Assumptions!D35+Assumptions!D36)/Assumptions!D37,0)</f>
        <v/>
      </c>
      <c r="G12" s="48">
        <f>IFERROR((((Base_Case!D27/(1+$B12)^0.5+Base_Case!E27/(1+$B12)^1.5+Base_Case!F27/(1+$B12)^2.5+Base_Case!G27/(1+$B12)^3.5+Base_Case!H27/(1+$B12)^4.5)+Base_Case!H27*(1+G$7)/($B12-G$7)/(1+$B12)^4.5)-Assumptions!D35+Assumptions!D36)/Assumptions!D37,0)</f>
        <v/>
      </c>
      <c r="H12" s="48">
        <f>IFERROR((((Base_Case!D27/(1+$B12)^0.5+Base_Case!E27/(1+$B12)^1.5+Base_Case!F27/(1+$B12)^2.5+Base_Case!G27/(1+$B12)^3.5+Base_Case!H27/(1+$B12)^4.5)+Base_Case!H27*(1+H$7)/($B12-H$7)/(1+$B12)^4.5)-Assumptions!D35+Assumptions!D36)/Assumptions!D37,0)</f>
        <v/>
      </c>
      <c r="I12" s="48">
        <f>IFERROR((((Base_Case!D27/(1+$B12)^0.5+Base_Case!E27/(1+$B12)^1.5+Base_Case!F27/(1+$B12)^2.5+Base_Case!G27/(1+$B12)^3.5+Base_Case!H27/(1+$B12)^4.5)+Base_Case!H27*(1+I$7)/($B12-I$7)/(1+$B12)^4.5)-Assumptions!D35+Assumptions!D36)/Assumptions!D37,0)</f>
        <v/>
      </c>
      <c r="J12" s="48">
        <f>IFERROR((((Base_Case!D27/(1+$B12)^0.5+Base_Case!E27/(1+$B12)^1.5+Base_Case!F27/(1+$B12)^2.5+Base_Case!G27/(1+$B12)^3.5+Base_Case!H27/(1+$B12)^4.5)+Base_Case!H27*(1+J$7)/($B12-J$7)/(1+$B12)^4.5)-Assumptions!D35+Assumptions!D36)/Assumptions!D37,0)</f>
        <v/>
      </c>
      <c r="K12" s="48">
        <f>IFERROR((((Base_Case!D27/(1+$B12)^0.5+Base_Case!E27/(1+$B12)^1.5+Base_Case!F27/(1+$B12)^2.5+Base_Case!G27/(1+$B12)^3.5+Base_Case!H27/(1+$B12)^4.5)+Base_Case!H27*(1+K$7)/($B12-K$7)/(1+$B12)^4.5)-Assumptions!D35+Assumptions!D36)/Assumptions!D37,0)</f>
        <v/>
      </c>
    </row>
    <row r="13" ht="20" customHeight="1">
      <c r="B13" s="56" t="n">
        <v>0.115</v>
      </c>
      <c r="C13" s="48">
        <f>IFERROR((((Base_Case!D27/(1+$B13)^0.5+Base_Case!E27/(1+$B13)^1.5+Base_Case!F27/(1+$B13)^2.5+Base_Case!G27/(1+$B13)^3.5+Base_Case!H27/(1+$B13)^4.5)+Base_Case!H27*(1+C$7)/($B13-C$7)/(1+$B13)^4.5)-Assumptions!D35+Assumptions!D36)/Assumptions!D37,0)</f>
        <v/>
      </c>
      <c r="D13" s="48">
        <f>IFERROR((((Base_Case!D27/(1+$B13)^0.5+Base_Case!E27/(1+$B13)^1.5+Base_Case!F27/(1+$B13)^2.5+Base_Case!G27/(1+$B13)^3.5+Base_Case!H27/(1+$B13)^4.5)+Base_Case!H27*(1+D$7)/($B13-D$7)/(1+$B13)^4.5)-Assumptions!D35+Assumptions!D36)/Assumptions!D37,0)</f>
        <v/>
      </c>
      <c r="E13" s="48">
        <f>IFERROR((((Base_Case!D27/(1+$B13)^0.5+Base_Case!E27/(1+$B13)^1.5+Base_Case!F27/(1+$B13)^2.5+Base_Case!G27/(1+$B13)^3.5+Base_Case!H27/(1+$B13)^4.5)+Base_Case!H27*(1+E$7)/($B13-E$7)/(1+$B13)^4.5)-Assumptions!D35+Assumptions!D36)/Assumptions!D37,0)</f>
        <v/>
      </c>
      <c r="F13" s="48">
        <f>IFERROR((((Base_Case!D27/(1+$B13)^0.5+Base_Case!E27/(1+$B13)^1.5+Base_Case!F27/(1+$B13)^2.5+Base_Case!G27/(1+$B13)^3.5+Base_Case!H27/(1+$B13)^4.5)+Base_Case!H27*(1+F$7)/($B13-F$7)/(1+$B13)^4.5)-Assumptions!D35+Assumptions!D36)/Assumptions!D37,0)</f>
        <v/>
      </c>
      <c r="G13" s="48">
        <f>IFERROR((((Base_Case!D27/(1+$B13)^0.5+Base_Case!E27/(1+$B13)^1.5+Base_Case!F27/(1+$B13)^2.5+Base_Case!G27/(1+$B13)^3.5+Base_Case!H27/(1+$B13)^4.5)+Base_Case!H27*(1+G$7)/($B13-G$7)/(1+$B13)^4.5)-Assumptions!D35+Assumptions!D36)/Assumptions!D37,0)</f>
        <v/>
      </c>
      <c r="H13" s="48">
        <f>IFERROR((((Base_Case!D27/(1+$B13)^0.5+Base_Case!E27/(1+$B13)^1.5+Base_Case!F27/(1+$B13)^2.5+Base_Case!G27/(1+$B13)^3.5+Base_Case!H27/(1+$B13)^4.5)+Base_Case!H27*(1+H$7)/($B13-H$7)/(1+$B13)^4.5)-Assumptions!D35+Assumptions!D36)/Assumptions!D37,0)</f>
        <v/>
      </c>
      <c r="I13" s="48">
        <f>IFERROR((((Base_Case!D27/(1+$B13)^0.5+Base_Case!E27/(1+$B13)^1.5+Base_Case!F27/(1+$B13)^2.5+Base_Case!G27/(1+$B13)^3.5+Base_Case!H27/(1+$B13)^4.5)+Base_Case!H27*(1+I$7)/($B13-I$7)/(1+$B13)^4.5)-Assumptions!D35+Assumptions!D36)/Assumptions!D37,0)</f>
        <v/>
      </c>
      <c r="J13" s="48">
        <f>IFERROR((((Base_Case!D27/(1+$B13)^0.5+Base_Case!E27/(1+$B13)^1.5+Base_Case!F27/(1+$B13)^2.5+Base_Case!G27/(1+$B13)^3.5+Base_Case!H27/(1+$B13)^4.5)+Base_Case!H27*(1+J$7)/($B13-J$7)/(1+$B13)^4.5)-Assumptions!D35+Assumptions!D36)/Assumptions!D37,0)</f>
        <v/>
      </c>
      <c r="K13" s="48">
        <f>IFERROR((((Base_Case!D27/(1+$B13)^0.5+Base_Case!E27/(1+$B13)^1.5+Base_Case!F27/(1+$B13)^2.5+Base_Case!G27/(1+$B13)^3.5+Base_Case!H27/(1+$B13)^4.5)+Base_Case!H27*(1+K$7)/($B13-K$7)/(1+$B13)^4.5)-Assumptions!D35+Assumptions!D36)/Assumptions!D37,0)</f>
        <v/>
      </c>
    </row>
    <row r="14" ht="20" customHeight="1">
      <c r="B14" s="56" t="n">
        <v>0.12</v>
      </c>
      <c r="C14" s="48">
        <f>IFERROR((((Base_Case!D27/(1+$B14)^0.5+Base_Case!E27/(1+$B14)^1.5+Base_Case!F27/(1+$B14)^2.5+Base_Case!G27/(1+$B14)^3.5+Base_Case!H27/(1+$B14)^4.5)+Base_Case!H27*(1+C$7)/($B14-C$7)/(1+$B14)^4.5)-Assumptions!D35+Assumptions!D36)/Assumptions!D37,0)</f>
        <v/>
      </c>
      <c r="D14" s="48">
        <f>IFERROR((((Base_Case!D27/(1+$B14)^0.5+Base_Case!E27/(1+$B14)^1.5+Base_Case!F27/(1+$B14)^2.5+Base_Case!G27/(1+$B14)^3.5+Base_Case!H27/(1+$B14)^4.5)+Base_Case!H27*(1+D$7)/($B14-D$7)/(1+$B14)^4.5)-Assumptions!D35+Assumptions!D36)/Assumptions!D37,0)</f>
        <v/>
      </c>
      <c r="E14" s="48">
        <f>IFERROR((((Base_Case!D27/(1+$B14)^0.5+Base_Case!E27/(1+$B14)^1.5+Base_Case!F27/(1+$B14)^2.5+Base_Case!G27/(1+$B14)^3.5+Base_Case!H27/(1+$B14)^4.5)+Base_Case!H27*(1+E$7)/($B14-E$7)/(1+$B14)^4.5)-Assumptions!D35+Assumptions!D36)/Assumptions!D37,0)</f>
        <v/>
      </c>
      <c r="F14" s="48">
        <f>IFERROR((((Base_Case!D27/(1+$B14)^0.5+Base_Case!E27/(1+$B14)^1.5+Base_Case!F27/(1+$B14)^2.5+Base_Case!G27/(1+$B14)^3.5+Base_Case!H27/(1+$B14)^4.5)+Base_Case!H27*(1+F$7)/($B14-F$7)/(1+$B14)^4.5)-Assumptions!D35+Assumptions!D36)/Assumptions!D37,0)</f>
        <v/>
      </c>
      <c r="G14" s="48">
        <f>IFERROR((((Base_Case!D27/(1+$B14)^0.5+Base_Case!E27/(1+$B14)^1.5+Base_Case!F27/(1+$B14)^2.5+Base_Case!G27/(1+$B14)^3.5+Base_Case!H27/(1+$B14)^4.5)+Base_Case!H27*(1+G$7)/($B14-G$7)/(1+$B14)^4.5)-Assumptions!D35+Assumptions!D36)/Assumptions!D37,0)</f>
        <v/>
      </c>
      <c r="H14" s="48">
        <f>IFERROR((((Base_Case!D27/(1+$B14)^0.5+Base_Case!E27/(1+$B14)^1.5+Base_Case!F27/(1+$B14)^2.5+Base_Case!G27/(1+$B14)^3.5+Base_Case!H27/(1+$B14)^4.5)+Base_Case!H27*(1+H$7)/($B14-H$7)/(1+$B14)^4.5)-Assumptions!D35+Assumptions!D36)/Assumptions!D37,0)</f>
        <v/>
      </c>
      <c r="I14" s="48">
        <f>IFERROR((((Base_Case!D27/(1+$B14)^0.5+Base_Case!E27/(1+$B14)^1.5+Base_Case!F27/(1+$B14)^2.5+Base_Case!G27/(1+$B14)^3.5+Base_Case!H27/(1+$B14)^4.5)+Base_Case!H27*(1+I$7)/($B14-I$7)/(1+$B14)^4.5)-Assumptions!D35+Assumptions!D36)/Assumptions!D37,0)</f>
        <v/>
      </c>
      <c r="J14" s="48">
        <f>IFERROR((((Base_Case!D27/(1+$B14)^0.5+Base_Case!E27/(1+$B14)^1.5+Base_Case!F27/(1+$B14)^2.5+Base_Case!G27/(1+$B14)^3.5+Base_Case!H27/(1+$B14)^4.5)+Base_Case!H27*(1+J$7)/($B14-J$7)/(1+$B14)^4.5)-Assumptions!D35+Assumptions!D36)/Assumptions!D37,0)</f>
        <v/>
      </c>
      <c r="K14" s="48">
        <f>IFERROR((((Base_Case!D27/(1+$B14)^0.5+Base_Case!E27/(1+$B14)^1.5+Base_Case!F27/(1+$B14)^2.5+Base_Case!G27/(1+$B14)^3.5+Base_Case!H27/(1+$B14)^4.5)+Base_Case!H27*(1+K$7)/($B14-K$7)/(1+$B14)^4.5)-Assumptions!D35+Assumptions!D36)/Assumptions!D37,0)</f>
        <v/>
      </c>
    </row>
    <row r="15" ht="20" customHeight="1">
      <c r="B15" s="56" t="n">
        <v>0.13</v>
      </c>
      <c r="C15" s="48">
        <f>IFERROR((((Base_Case!D27/(1+$B15)^0.5+Base_Case!E27/(1+$B15)^1.5+Base_Case!F27/(1+$B15)^2.5+Base_Case!G27/(1+$B15)^3.5+Base_Case!H27/(1+$B15)^4.5)+Base_Case!H27*(1+C$7)/($B15-C$7)/(1+$B15)^4.5)-Assumptions!D35+Assumptions!D36)/Assumptions!D37,0)</f>
        <v/>
      </c>
      <c r="D15" s="48">
        <f>IFERROR((((Base_Case!D27/(1+$B15)^0.5+Base_Case!E27/(1+$B15)^1.5+Base_Case!F27/(1+$B15)^2.5+Base_Case!G27/(1+$B15)^3.5+Base_Case!H27/(1+$B15)^4.5)+Base_Case!H27*(1+D$7)/($B15-D$7)/(1+$B15)^4.5)-Assumptions!D35+Assumptions!D36)/Assumptions!D37,0)</f>
        <v/>
      </c>
      <c r="E15" s="48">
        <f>IFERROR((((Base_Case!D27/(1+$B15)^0.5+Base_Case!E27/(1+$B15)^1.5+Base_Case!F27/(1+$B15)^2.5+Base_Case!G27/(1+$B15)^3.5+Base_Case!H27/(1+$B15)^4.5)+Base_Case!H27*(1+E$7)/($B15-E$7)/(1+$B15)^4.5)-Assumptions!D35+Assumptions!D36)/Assumptions!D37,0)</f>
        <v/>
      </c>
      <c r="F15" s="48">
        <f>IFERROR((((Base_Case!D27/(1+$B15)^0.5+Base_Case!E27/(1+$B15)^1.5+Base_Case!F27/(1+$B15)^2.5+Base_Case!G27/(1+$B15)^3.5+Base_Case!H27/(1+$B15)^4.5)+Base_Case!H27*(1+F$7)/($B15-F$7)/(1+$B15)^4.5)-Assumptions!D35+Assumptions!D36)/Assumptions!D37,0)</f>
        <v/>
      </c>
      <c r="G15" s="48">
        <f>IFERROR((((Base_Case!D27/(1+$B15)^0.5+Base_Case!E27/(1+$B15)^1.5+Base_Case!F27/(1+$B15)^2.5+Base_Case!G27/(1+$B15)^3.5+Base_Case!H27/(1+$B15)^4.5)+Base_Case!H27*(1+G$7)/($B15-G$7)/(1+$B15)^4.5)-Assumptions!D35+Assumptions!D36)/Assumptions!D37,0)</f>
        <v/>
      </c>
      <c r="H15" s="48">
        <f>IFERROR((((Base_Case!D27/(1+$B15)^0.5+Base_Case!E27/(1+$B15)^1.5+Base_Case!F27/(1+$B15)^2.5+Base_Case!G27/(1+$B15)^3.5+Base_Case!H27/(1+$B15)^4.5)+Base_Case!H27*(1+H$7)/($B15-H$7)/(1+$B15)^4.5)-Assumptions!D35+Assumptions!D36)/Assumptions!D37,0)</f>
        <v/>
      </c>
      <c r="I15" s="48">
        <f>IFERROR((((Base_Case!D27/(1+$B15)^0.5+Base_Case!E27/(1+$B15)^1.5+Base_Case!F27/(1+$B15)^2.5+Base_Case!G27/(1+$B15)^3.5+Base_Case!H27/(1+$B15)^4.5)+Base_Case!H27*(1+I$7)/($B15-I$7)/(1+$B15)^4.5)-Assumptions!D35+Assumptions!D36)/Assumptions!D37,0)</f>
        <v/>
      </c>
      <c r="J15" s="48">
        <f>IFERROR((((Base_Case!D27/(1+$B15)^0.5+Base_Case!E27/(1+$B15)^1.5+Base_Case!F27/(1+$B15)^2.5+Base_Case!G27/(1+$B15)^3.5+Base_Case!H27/(1+$B15)^4.5)+Base_Case!H27*(1+J$7)/($B15-J$7)/(1+$B15)^4.5)-Assumptions!D35+Assumptions!D36)/Assumptions!D37,0)</f>
        <v/>
      </c>
      <c r="K15" s="48">
        <f>IFERROR((((Base_Case!D27/(1+$B15)^0.5+Base_Case!E27/(1+$B15)^1.5+Base_Case!F27/(1+$B15)^2.5+Base_Case!G27/(1+$B15)^3.5+Base_Case!H27/(1+$B15)^4.5)+Base_Case!H27*(1+K$7)/($B15-K$7)/(1+$B15)^4.5)-Assumptions!D35+Assumptions!D36)/Assumptions!D37,0)</f>
        <v/>
      </c>
    </row>
    <row r="18">
      <c r="B18" s="13" t="inlineStr">
        <is>
          <t>Current share price:</t>
        </is>
      </c>
      <c r="C18" s="51">
        <f>Assumptions!D38</f>
        <v/>
      </c>
    </row>
    <row r="19">
      <c r="B19" s="13" t="inlineStr">
        <is>
          <t>Base case WACC:</t>
        </is>
      </c>
      <c r="C19" s="36">
        <f>Assumptions!D28</f>
        <v/>
      </c>
    </row>
    <row r="20">
      <c r="B20" s="13" t="inlineStr">
        <is>
          <t>Base case terminal g:</t>
        </is>
      </c>
      <c r="C20" s="36">
        <f>Assumptions!D10</f>
        <v/>
      </c>
    </row>
    <row r="22" ht="40" customHeight="1">
      <c r="B22" s="11" t="inlineStr">
        <is>
          <t>Methodology: Each cell recomputes the full DCF using Base case unlevered FCFs (Base_Case row 27) but overrides WACC (row input) and terminal growth (column input). Mid-year discounting applied. Debt, cash, and shares held constant at Base case.</t>
        </is>
      </c>
    </row>
  </sheetData>
  <mergeCells count="4">
    <mergeCell ref="B4:K4"/>
    <mergeCell ref="B22:K22"/>
    <mergeCell ref="B6:K6"/>
    <mergeCell ref="B2:K2"/>
  </mergeCells>
  <conditionalFormatting sqref="C8:K15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K24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16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 ht="8" customHeight="1"/>
    <row r="2" ht="30" customHeight="1">
      <c r="B2" s="1" t="inlineStr">
        <is>
          <t>Terminal Value Sensitivity — Implied Share Price ($)</t>
        </is>
      </c>
    </row>
    <row r="3" ht="6" customHeight="1"/>
    <row r="4" ht="36" customHeight="1">
      <c r="B4" s="11" t="inlineStr">
        <is>
          <t>Two-way sensitivity table: rows = Exit EV/EBITDA multiple, columns = WACC. Cell values = implied share price ($) under Base case assumptions, using the Exit Multiple terminal value method. Base case highlighted in yellow.</t>
        </is>
      </c>
    </row>
    <row r="6" ht="22" customHeight="1">
      <c r="B6" s="3" t="inlineStr">
        <is>
          <t xml:space="preserve">  Implied Share Price ($) — Exit Multiple Method (Base Case)</t>
        </is>
      </c>
    </row>
    <row r="7" ht="24" customHeight="1">
      <c r="B7" s="53" t="inlineStr">
        <is>
          <t>EV/EBITDA \ WACC</t>
        </is>
      </c>
      <c r="C7" s="54" t="n">
        <v>0.08</v>
      </c>
      <c r="D7" s="54" t="n">
        <v>0.09</v>
      </c>
      <c r="E7" s="54" t="n">
        <v>0.1</v>
      </c>
      <c r="F7" s="54" t="n">
        <v>0.105</v>
      </c>
      <c r="G7" s="54" t="n">
        <v>0.11</v>
      </c>
      <c r="H7" s="54" t="n">
        <v>0.115</v>
      </c>
      <c r="I7" s="54" t="n">
        <v>0.12</v>
      </c>
      <c r="J7" s="54" t="n">
        <v>0.13</v>
      </c>
      <c r="K7" s="54" t="n">
        <v>0.14</v>
      </c>
    </row>
    <row r="8" ht="20" customHeight="1">
      <c r="B8" s="57" t="n">
        <v>12</v>
      </c>
      <c r="C8" s="48">
        <f>IFERROR((((Base_Case!D27/(1+C$7)^0.5+Base_Case!E27/(1+C$7)^1.5+Base_Case!F27/(1+C$7)^2.5+Base_Case!G27/(1+C$7)^3.5+Base_Case!H27/(1+C$7)^4.5)+Base_Case!H14*$B8/(1+C$7)^4.5)-Assumptions!D35+Assumptions!D36)/Assumptions!D37,0)</f>
        <v/>
      </c>
      <c r="D8" s="48">
        <f>IFERROR((((Base_Case!D27/(1+D$7)^0.5+Base_Case!E27/(1+D$7)^1.5+Base_Case!F27/(1+D$7)^2.5+Base_Case!G27/(1+D$7)^3.5+Base_Case!H27/(1+D$7)^4.5)+Base_Case!H14*$B8/(1+D$7)^4.5)-Assumptions!D35+Assumptions!D36)/Assumptions!D37,0)</f>
        <v/>
      </c>
      <c r="E8" s="48">
        <f>IFERROR((((Base_Case!D27/(1+E$7)^0.5+Base_Case!E27/(1+E$7)^1.5+Base_Case!F27/(1+E$7)^2.5+Base_Case!G27/(1+E$7)^3.5+Base_Case!H27/(1+E$7)^4.5)+Base_Case!H14*$B8/(1+E$7)^4.5)-Assumptions!D35+Assumptions!D36)/Assumptions!D37,0)</f>
        <v/>
      </c>
      <c r="F8" s="48">
        <f>IFERROR((((Base_Case!D27/(1+F$7)^0.5+Base_Case!E27/(1+F$7)^1.5+Base_Case!F27/(1+F$7)^2.5+Base_Case!G27/(1+F$7)^3.5+Base_Case!H27/(1+F$7)^4.5)+Base_Case!H14*$B8/(1+F$7)^4.5)-Assumptions!D35+Assumptions!D36)/Assumptions!D37,0)</f>
        <v/>
      </c>
      <c r="G8" s="48">
        <f>IFERROR((((Base_Case!D27/(1+G$7)^0.5+Base_Case!E27/(1+G$7)^1.5+Base_Case!F27/(1+G$7)^2.5+Base_Case!G27/(1+G$7)^3.5+Base_Case!H27/(1+G$7)^4.5)+Base_Case!H14*$B8/(1+G$7)^4.5)-Assumptions!D35+Assumptions!D36)/Assumptions!D37,0)</f>
        <v/>
      </c>
      <c r="H8" s="48">
        <f>IFERROR((((Base_Case!D27/(1+H$7)^0.5+Base_Case!E27/(1+H$7)^1.5+Base_Case!F27/(1+H$7)^2.5+Base_Case!G27/(1+H$7)^3.5+Base_Case!H27/(1+H$7)^4.5)+Base_Case!H14*$B8/(1+H$7)^4.5)-Assumptions!D35+Assumptions!D36)/Assumptions!D37,0)</f>
        <v/>
      </c>
      <c r="I8" s="48">
        <f>IFERROR((((Base_Case!D27/(1+I$7)^0.5+Base_Case!E27/(1+I$7)^1.5+Base_Case!F27/(1+I$7)^2.5+Base_Case!G27/(1+I$7)^3.5+Base_Case!H27/(1+I$7)^4.5)+Base_Case!H14*$B8/(1+I$7)^4.5)-Assumptions!D35+Assumptions!D36)/Assumptions!D37,0)</f>
        <v/>
      </c>
      <c r="J8" s="48">
        <f>IFERROR((((Base_Case!D27/(1+J$7)^0.5+Base_Case!E27/(1+J$7)^1.5+Base_Case!F27/(1+J$7)^2.5+Base_Case!G27/(1+J$7)^3.5+Base_Case!H27/(1+J$7)^4.5)+Base_Case!H14*$B8/(1+J$7)^4.5)-Assumptions!D35+Assumptions!D36)/Assumptions!D37,0)</f>
        <v/>
      </c>
      <c r="K8" s="48">
        <f>IFERROR((((Base_Case!D27/(1+K$7)^0.5+Base_Case!E27/(1+K$7)^1.5+Base_Case!F27/(1+K$7)^2.5+Base_Case!G27/(1+K$7)^3.5+Base_Case!H27/(1+K$7)^4.5)+Base_Case!H14*$B8/(1+K$7)^4.5)-Assumptions!D35+Assumptions!D36)/Assumptions!D37,0)</f>
        <v/>
      </c>
    </row>
    <row r="9" ht="20" customHeight="1">
      <c r="B9" s="57" t="n">
        <v>14</v>
      </c>
      <c r="C9" s="48">
        <f>IFERROR((((Base_Case!D27/(1+C$7)^0.5+Base_Case!E27/(1+C$7)^1.5+Base_Case!F27/(1+C$7)^2.5+Base_Case!G27/(1+C$7)^3.5+Base_Case!H27/(1+C$7)^4.5)+Base_Case!H14*$B9/(1+C$7)^4.5)-Assumptions!D35+Assumptions!D36)/Assumptions!D37,0)</f>
        <v/>
      </c>
      <c r="D9" s="48">
        <f>IFERROR((((Base_Case!D27/(1+D$7)^0.5+Base_Case!E27/(1+D$7)^1.5+Base_Case!F27/(1+D$7)^2.5+Base_Case!G27/(1+D$7)^3.5+Base_Case!H27/(1+D$7)^4.5)+Base_Case!H14*$B9/(1+D$7)^4.5)-Assumptions!D35+Assumptions!D36)/Assumptions!D37,0)</f>
        <v/>
      </c>
      <c r="E9" s="48">
        <f>IFERROR((((Base_Case!D27/(1+E$7)^0.5+Base_Case!E27/(1+E$7)^1.5+Base_Case!F27/(1+E$7)^2.5+Base_Case!G27/(1+E$7)^3.5+Base_Case!H27/(1+E$7)^4.5)+Base_Case!H14*$B9/(1+E$7)^4.5)-Assumptions!D35+Assumptions!D36)/Assumptions!D37,0)</f>
        <v/>
      </c>
      <c r="F9" s="48">
        <f>IFERROR((((Base_Case!D27/(1+F$7)^0.5+Base_Case!E27/(1+F$7)^1.5+Base_Case!F27/(1+F$7)^2.5+Base_Case!G27/(1+F$7)^3.5+Base_Case!H27/(1+F$7)^4.5)+Base_Case!H14*$B9/(1+F$7)^4.5)-Assumptions!D35+Assumptions!D36)/Assumptions!D37,0)</f>
        <v/>
      </c>
      <c r="G9" s="48">
        <f>IFERROR((((Base_Case!D27/(1+G$7)^0.5+Base_Case!E27/(1+G$7)^1.5+Base_Case!F27/(1+G$7)^2.5+Base_Case!G27/(1+G$7)^3.5+Base_Case!H27/(1+G$7)^4.5)+Base_Case!H14*$B9/(1+G$7)^4.5)-Assumptions!D35+Assumptions!D36)/Assumptions!D37,0)</f>
        <v/>
      </c>
      <c r="H9" s="48">
        <f>IFERROR((((Base_Case!D27/(1+H$7)^0.5+Base_Case!E27/(1+H$7)^1.5+Base_Case!F27/(1+H$7)^2.5+Base_Case!G27/(1+H$7)^3.5+Base_Case!H27/(1+H$7)^4.5)+Base_Case!H14*$B9/(1+H$7)^4.5)-Assumptions!D35+Assumptions!D36)/Assumptions!D37,0)</f>
        <v/>
      </c>
      <c r="I9" s="48">
        <f>IFERROR((((Base_Case!D27/(1+I$7)^0.5+Base_Case!E27/(1+I$7)^1.5+Base_Case!F27/(1+I$7)^2.5+Base_Case!G27/(1+I$7)^3.5+Base_Case!H27/(1+I$7)^4.5)+Base_Case!H14*$B9/(1+I$7)^4.5)-Assumptions!D35+Assumptions!D36)/Assumptions!D37,0)</f>
        <v/>
      </c>
      <c r="J9" s="48">
        <f>IFERROR((((Base_Case!D27/(1+J$7)^0.5+Base_Case!E27/(1+J$7)^1.5+Base_Case!F27/(1+J$7)^2.5+Base_Case!G27/(1+J$7)^3.5+Base_Case!H27/(1+J$7)^4.5)+Base_Case!H14*$B9/(1+J$7)^4.5)-Assumptions!D35+Assumptions!D36)/Assumptions!D37,0)</f>
        <v/>
      </c>
      <c r="K9" s="48">
        <f>IFERROR((((Base_Case!D27/(1+K$7)^0.5+Base_Case!E27/(1+K$7)^1.5+Base_Case!F27/(1+K$7)^2.5+Base_Case!G27/(1+K$7)^3.5+Base_Case!H27/(1+K$7)^4.5)+Base_Case!H14*$B9/(1+K$7)^4.5)-Assumptions!D35+Assumptions!D36)/Assumptions!D37,0)</f>
        <v/>
      </c>
    </row>
    <row r="10" ht="20" customHeight="1">
      <c r="B10" s="57" t="n">
        <v>16</v>
      </c>
      <c r="C10" s="48">
        <f>IFERROR((((Base_Case!D27/(1+C$7)^0.5+Base_Case!E27/(1+C$7)^1.5+Base_Case!F27/(1+C$7)^2.5+Base_Case!G27/(1+C$7)^3.5+Base_Case!H27/(1+C$7)^4.5)+Base_Case!H14*$B10/(1+C$7)^4.5)-Assumptions!D35+Assumptions!D36)/Assumptions!D37,0)</f>
        <v/>
      </c>
      <c r="D10" s="48">
        <f>IFERROR((((Base_Case!D27/(1+D$7)^0.5+Base_Case!E27/(1+D$7)^1.5+Base_Case!F27/(1+D$7)^2.5+Base_Case!G27/(1+D$7)^3.5+Base_Case!H27/(1+D$7)^4.5)+Base_Case!H14*$B10/(1+D$7)^4.5)-Assumptions!D35+Assumptions!D36)/Assumptions!D37,0)</f>
        <v/>
      </c>
      <c r="E10" s="48">
        <f>IFERROR((((Base_Case!D27/(1+E$7)^0.5+Base_Case!E27/(1+E$7)^1.5+Base_Case!F27/(1+E$7)^2.5+Base_Case!G27/(1+E$7)^3.5+Base_Case!H27/(1+E$7)^4.5)+Base_Case!H14*$B10/(1+E$7)^4.5)-Assumptions!D35+Assumptions!D36)/Assumptions!D37,0)</f>
        <v/>
      </c>
      <c r="F10" s="48">
        <f>IFERROR((((Base_Case!D27/(1+F$7)^0.5+Base_Case!E27/(1+F$7)^1.5+Base_Case!F27/(1+F$7)^2.5+Base_Case!G27/(1+F$7)^3.5+Base_Case!H27/(1+F$7)^4.5)+Base_Case!H14*$B10/(1+F$7)^4.5)-Assumptions!D35+Assumptions!D36)/Assumptions!D37,0)</f>
        <v/>
      </c>
      <c r="G10" s="48">
        <f>IFERROR((((Base_Case!D27/(1+G$7)^0.5+Base_Case!E27/(1+G$7)^1.5+Base_Case!F27/(1+G$7)^2.5+Base_Case!G27/(1+G$7)^3.5+Base_Case!H27/(1+G$7)^4.5)+Base_Case!H14*$B10/(1+G$7)^4.5)-Assumptions!D35+Assumptions!D36)/Assumptions!D37,0)</f>
        <v/>
      </c>
      <c r="H10" s="48">
        <f>IFERROR((((Base_Case!D27/(1+H$7)^0.5+Base_Case!E27/(1+H$7)^1.5+Base_Case!F27/(1+H$7)^2.5+Base_Case!G27/(1+H$7)^3.5+Base_Case!H27/(1+H$7)^4.5)+Base_Case!H14*$B10/(1+H$7)^4.5)-Assumptions!D35+Assumptions!D36)/Assumptions!D37,0)</f>
        <v/>
      </c>
      <c r="I10" s="48">
        <f>IFERROR((((Base_Case!D27/(1+I$7)^0.5+Base_Case!E27/(1+I$7)^1.5+Base_Case!F27/(1+I$7)^2.5+Base_Case!G27/(1+I$7)^3.5+Base_Case!H27/(1+I$7)^4.5)+Base_Case!H14*$B10/(1+I$7)^4.5)-Assumptions!D35+Assumptions!D36)/Assumptions!D37,0)</f>
        <v/>
      </c>
      <c r="J10" s="48">
        <f>IFERROR((((Base_Case!D27/(1+J$7)^0.5+Base_Case!E27/(1+J$7)^1.5+Base_Case!F27/(1+J$7)^2.5+Base_Case!G27/(1+J$7)^3.5+Base_Case!H27/(1+J$7)^4.5)+Base_Case!H14*$B10/(1+J$7)^4.5)-Assumptions!D35+Assumptions!D36)/Assumptions!D37,0)</f>
        <v/>
      </c>
      <c r="K10" s="48">
        <f>IFERROR((((Base_Case!D27/(1+K$7)^0.5+Base_Case!E27/(1+K$7)^1.5+Base_Case!F27/(1+K$7)^2.5+Base_Case!G27/(1+K$7)^3.5+Base_Case!H27/(1+K$7)^4.5)+Base_Case!H14*$B10/(1+K$7)^4.5)-Assumptions!D35+Assumptions!D36)/Assumptions!D37,0)</f>
        <v/>
      </c>
    </row>
    <row r="11" ht="20" customHeight="1">
      <c r="B11" s="57" t="n">
        <v>18</v>
      </c>
      <c r="C11" s="48">
        <f>IFERROR((((Base_Case!D27/(1+C$7)^0.5+Base_Case!E27/(1+C$7)^1.5+Base_Case!F27/(1+C$7)^2.5+Base_Case!G27/(1+C$7)^3.5+Base_Case!H27/(1+C$7)^4.5)+Base_Case!H14*$B11/(1+C$7)^4.5)-Assumptions!D35+Assumptions!D36)/Assumptions!D37,0)</f>
        <v/>
      </c>
      <c r="D11" s="48">
        <f>IFERROR((((Base_Case!D27/(1+D$7)^0.5+Base_Case!E27/(1+D$7)^1.5+Base_Case!F27/(1+D$7)^2.5+Base_Case!G27/(1+D$7)^3.5+Base_Case!H27/(1+D$7)^4.5)+Base_Case!H14*$B11/(1+D$7)^4.5)-Assumptions!D35+Assumptions!D36)/Assumptions!D37,0)</f>
        <v/>
      </c>
      <c r="E11" s="48">
        <f>IFERROR((((Base_Case!D27/(1+E$7)^0.5+Base_Case!E27/(1+E$7)^1.5+Base_Case!F27/(1+E$7)^2.5+Base_Case!G27/(1+E$7)^3.5+Base_Case!H27/(1+E$7)^4.5)+Base_Case!H14*$B11/(1+E$7)^4.5)-Assumptions!D35+Assumptions!D36)/Assumptions!D37,0)</f>
        <v/>
      </c>
      <c r="F11" s="48">
        <f>IFERROR((((Base_Case!D27/(1+F$7)^0.5+Base_Case!E27/(1+F$7)^1.5+Base_Case!F27/(1+F$7)^2.5+Base_Case!G27/(1+F$7)^3.5+Base_Case!H27/(1+F$7)^4.5)+Base_Case!H14*$B11/(1+F$7)^4.5)-Assumptions!D35+Assumptions!D36)/Assumptions!D37,0)</f>
        <v/>
      </c>
      <c r="G11" s="48">
        <f>IFERROR((((Base_Case!D27/(1+G$7)^0.5+Base_Case!E27/(1+G$7)^1.5+Base_Case!F27/(1+G$7)^2.5+Base_Case!G27/(1+G$7)^3.5+Base_Case!H27/(1+G$7)^4.5)+Base_Case!H14*$B11/(1+G$7)^4.5)-Assumptions!D35+Assumptions!D36)/Assumptions!D37,0)</f>
        <v/>
      </c>
      <c r="H11" s="48">
        <f>IFERROR((((Base_Case!D27/(1+H$7)^0.5+Base_Case!E27/(1+H$7)^1.5+Base_Case!F27/(1+H$7)^2.5+Base_Case!G27/(1+H$7)^3.5+Base_Case!H27/(1+H$7)^4.5)+Base_Case!H14*$B11/(1+H$7)^4.5)-Assumptions!D35+Assumptions!D36)/Assumptions!D37,0)</f>
        <v/>
      </c>
      <c r="I11" s="48">
        <f>IFERROR((((Base_Case!D27/(1+I$7)^0.5+Base_Case!E27/(1+I$7)^1.5+Base_Case!F27/(1+I$7)^2.5+Base_Case!G27/(1+I$7)^3.5+Base_Case!H27/(1+I$7)^4.5)+Base_Case!H14*$B11/(1+I$7)^4.5)-Assumptions!D35+Assumptions!D36)/Assumptions!D37,0)</f>
        <v/>
      </c>
      <c r="J11" s="48">
        <f>IFERROR((((Base_Case!D27/(1+J$7)^0.5+Base_Case!E27/(1+J$7)^1.5+Base_Case!F27/(1+J$7)^2.5+Base_Case!G27/(1+J$7)^3.5+Base_Case!H27/(1+J$7)^4.5)+Base_Case!H14*$B11/(1+J$7)^4.5)-Assumptions!D35+Assumptions!D36)/Assumptions!D37,0)</f>
        <v/>
      </c>
      <c r="K11" s="48">
        <f>IFERROR((((Base_Case!D27/(1+K$7)^0.5+Base_Case!E27/(1+K$7)^1.5+Base_Case!F27/(1+K$7)^2.5+Base_Case!G27/(1+K$7)^3.5+Base_Case!H27/(1+K$7)^4.5)+Base_Case!H14*$B11/(1+K$7)^4.5)-Assumptions!D35+Assumptions!D36)/Assumptions!D37,0)</f>
        <v/>
      </c>
    </row>
    <row r="12" ht="20" customHeight="1">
      <c r="B12" s="58" t="n">
        <v>20</v>
      </c>
      <c r="C12" s="48">
        <f>IFERROR((((Base_Case!D27/(1+C$7)^0.5+Base_Case!E27/(1+C$7)^1.5+Base_Case!F27/(1+C$7)^2.5+Base_Case!G27/(1+C$7)^3.5+Base_Case!H27/(1+C$7)^4.5)+Base_Case!H14*$B12/(1+C$7)^4.5)-Assumptions!D35+Assumptions!D36)/Assumptions!D37,0)</f>
        <v/>
      </c>
      <c r="D12" s="48">
        <f>IFERROR((((Base_Case!D27/(1+D$7)^0.5+Base_Case!E27/(1+D$7)^1.5+Base_Case!F27/(1+D$7)^2.5+Base_Case!G27/(1+D$7)^3.5+Base_Case!H27/(1+D$7)^4.5)+Base_Case!H14*$B12/(1+D$7)^4.5)-Assumptions!D35+Assumptions!D36)/Assumptions!D37,0)</f>
        <v/>
      </c>
      <c r="E12" s="48">
        <f>IFERROR((((Base_Case!D27/(1+E$7)^0.5+Base_Case!E27/(1+E$7)^1.5+Base_Case!F27/(1+E$7)^2.5+Base_Case!G27/(1+E$7)^3.5+Base_Case!H27/(1+E$7)^4.5)+Base_Case!H14*$B12/(1+E$7)^4.5)-Assumptions!D35+Assumptions!D36)/Assumptions!D37,0)</f>
        <v/>
      </c>
      <c r="F12" s="48">
        <f>IFERROR((((Base_Case!D27/(1+F$7)^0.5+Base_Case!E27/(1+F$7)^1.5+Base_Case!F27/(1+F$7)^2.5+Base_Case!G27/(1+F$7)^3.5+Base_Case!H27/(1+F$7)^4.5)+Base_Case!H14*$B12/(1+F$7)^4.5)-Assumptions!D35+Assumptions!D36)/Assumptions!D37,0)</f>
        <v/>
      </c>
      <c r="G12" s="48">
        <f>IFERROR((((Base_Case!D27/(1+G$7)^0.5+Base_Case!E27/(1+G$7)^1.5+Base_Case!F27/(1+G$7)^2.5+Base_Case!G27/(1+G$7)^3.5+Base_Case!H27/(1+G$7)^4.5)+Base_Case!H14*$B12/(1+G$7)^4.5)-Assumptions!D35+Assumptions!D36)/Assumptions!D37,0)</f>
        <v/>
      </c>
      <c r="H12" s="48">
        <f>IFERROR((((Base_Case!D27/(1+H$7)^0.5+Base_Case!E27/(1+H$7)^1.5+Base_Case!F27/(1+H$7)^2.5+Base_Case!G27/(1+H$7)^3.5+Base_Case!H27/(1+H$7)^4.5)+Base_Case!H14*$B12/(1+H$7)^4.5)-Assumptions!D35+Assumptions!D36)/Assumptions!D37,0)</f>
        <v/>
      </c>
      <c r="I12" s="48">
        <f>IFERROR((((Base_Case!D27/(1+I$7)^0.5+Base_Case!E27/(1+I$7)^1.5+Base_Case!F27/(1+I$7)^2.5+Base_Case!G27/(1+I$7)^3.5+Base_Case!H27/(1+I$7)^4.5)+Base_Case!H14*$B12/(1+I$7)^4.5)-Assumptions!D35+Assumptions!D36)/Assumptions!D37,0)</f>
        <v/>
      </c>
      <c r="J12" s="48">
        <f>IFERROR((((Base_Case!D27/(1+J$7)^0.5+Base_Case!E27/(1+J$7)^1.5+Base_Case!F27/(1+J$7)^2.5+Base_Case!G27/(1+J$7)^3.5+Base_Case!H27/(1+J$7)^4.5)+Base_Case!H14*$B12/(1+J$7)^4.5)-Assumptions!D35+Assumptions!D36)/Assumptions!D37,0)</f>
        <v/>
      </c>
      <c r="K12" s="48">
        <f>IFERROR((((Base_Case!D27/(1+K$7)^0.5+Base_Case!E27/(1+K$7)^1.5+Base_Case!F27/(1+K$7)^2.5+Base_Case!G27/(1+K$7)^3.5+Base_Case!H27/(1+K$7)^4.5)+Base_Case!H14*$B12/(1+K$7)^4.5)-Assumptions!D35+Assumptions!D36)/Assumptions!D37,0)</f>
        <v/>
      </c>
    </row>
    <row r="13" ht="20" customHeight="1">
      <c r="B13" s="57" t="n">
        <v>22</v>
      </c>
      <c r="C13" s="48">
        <f>IFERROR((((Base_Case!D27/(1+C$7)^0.5+Base_Case!E27/(1+C$7)^1.5+Base_Case!F27/(1+C$7)^2.5+Base_Case!G27/(1+C$7)^3.5+Base_Case!H27/(1+C$7)^4.5)+Base_Case!H14*$B13/(1+C$7)^4.5)-Assumptions!D35+Assumptions!D36)/Assumptions!D37,0)</f>
        <v/>
      </c>
      <c r="D13" s="48">
        <f>IFERROR((((Base_Case!D27/(1+D$7)^0.5+Base_Case!E27/(1+D$7)^1.5+Base_Case!F27/(1+D$7)^2.5+Base_Case!G27/(1+D$7)^3.5+Base_Case!H27/(1+D$7)^4.5)+Base_Case!H14*$B13/(1+D$7)^4.5)-Assumptions!D35+Assumptions!D36)/Assumptions!D37,0)</f>
        <v/>
      </c>
      <c r="E13" s="48">
        <f>IFERROR((((Base_Case!D27/(1+E$7)^0.5+Base_Case!E27/(1+E$7)^1.5+Base_Case!F27/(1+E$7)^2.5+Base_Case!G27/(1+E$7)^3.5+Base_Case!H27/(1+E$7)^4.5)+Base_Case!H14*$B13/(1+E$7)^4.5)-Assumptions!D35+Assumptions!D36)/Assumptions!D37,0)</f>
        <v/>
      </c>
      <c r="F13" s="48">
        <f>IFERROR((((Base_Case!D27/(1+F$7)^0.5+Base_Case!E27/(1+F$7)^1.5+Base_Case!F27/(1+F$7)^2.5+Base_Case!G27/(1+F$7)^3.5+Base_Case!H27/(1+F$7)^4.5)+Base_Case!H14*$B13/(1+F$7)^4.5)-Assumptions!D35+Assumptions!D36)/Assumptions!D37,0)</f>
        <v/>
      </c>
      <c r="G13" s="48">
        <f>IFERROR((((Base_Case!D27/(1+G$7)^0.5+Base_Case!E27/(1+G$7)^1.5+Base_Case!F27/(1+G$7)^2.5+Base_Case!G27/(1+G$7)^3.5+Base_Case!H27/(1+G$7)^4.5)+Base_Case!H14*$B13/(1+G$7)^4.5)-Assumptions!D35+Assumptions!D36)/Assumptions!D37,0)</f>
        <v/>
      </c>
      <c r="H13" s="48">
        <f>IFERROR((((Base_Case!D27/(1+H$7)^0.5+Base_Case!E27/(1+H$7)^1.5+Base_Case!F27/(1+H$7)^2.5+Base_Case!G27/(1+H$7)^3.5+Base_Case!H27/(1+H$7)^4.5)+Base_Case!H14*$B13/(1+H$7)^4.5)-Assumptions!D35+Assumptions!D36)/Assumptions!D37,0)</f>
        <v/>
      </c>
      <c r="I13" s="48">
        <f>IFERROR((((Base_Case!D27/(1+I$7)^0.5+Base_Case!E27/(1+I$7)^1.5+Base_Case!F27/(1+I$7)^2.5+Base_Case!G27/(1+I$7)^3.5+Base_Case!H27/(1+I$7)^4.5)+Base_Case!H14*$B13/(1+I$7)^4.5)-Assumptions!D35+Assumptions!D36)/Assumptions!D37,0)</f>
        <v/>
      </c>
      <c r="J13" s="48">
        <f>IFERROR((((Base_Case!D27/(1+J$7)^0.5+Base_Case!E27/(1+J$7)^1.5+Base_Case!F27/(1+J$7)^2.5+Base_Case!G27/(1+J$7)^3.5+Base_Case!H27/(1+J$7)^4.5)+Base_Case!H14*$B13/(1+J$7)^4.5)-Assumptions!D35+Assumptions!D36)/Assumptions!D37,0)</f>
        <v/>
      </c>
      <c r="K13" s="48">
        <f>IFERROR((((Base_Case!D27/(1+K$7)^0.5+Base_Case!E27/(1+K$7)^1.5+Base_Case!F27/(1+K$7)^2.5+Base_Case!G27/(1+K$7)^3.5+Base_Case!H27/(1+K$7)^4.5)+Base_Case!H14*$B13/(1+K$7)^4.5)-Assumptions!D35+Assumptions!D36)/Assumptions!D37,0)</f>
        <v/>
      </c>
    </row>
    <row r="14" ht="20" customHeight="1">
      <c r="B14" s="57" t="n">
        <v>24</v>
      </c>
      <c r="C14" s="48">
        <f>IFERROR((((Base_Case!D27/(1+C$7)^0.5+Base_Case!E27/(1+C$7)^1.5+Base_Case!F27/(1+C$7)^2.5+Base_Case!G27/(1+C$7)^3.5+Base_Case!H27/(1+C$7)^4.5)+Base_Case!H14*$B14/(1+C$7)^4.5)-Assumptions!D35+Assumptions!D36)/Assumptions!D37,0)</f>
        <v/>
      </c>
      <c r="D14" s="48">
        <f>IFERROR((((Base_Case!D27/(1+D$7)^0.5+Base_Case!E27/(1+D$7)^1.5+Base_Case!F27/(1+D$7)^2.5+Base_Case!G27/(1+D$7)^3.5+Base_Case!H27/(1+D$7)^4.5)+Base_Case!H14*$B14/(1+D$7)^4.5)-Assumptions!D35+Assumptions!D36)/Assumptions!D37,0)</f>
        <v/>
      </c>
      <c r="E14" s="48">
        <f>IFERROR((((Base_Case!D27/(1+E$7)^0.5+Base_Case!E27/(1+E$7)^1.5+Base_Case!F27/(1+E$7)^2.5+Base_Case!G27/(1+E$7)^3.5+Base_Case!H27/(1+E$7)^4.5)+Base_Case!H14*$B14/(1+E$7)^4.5)-Assumptions!D35+Assumptions!D36)/Assumptions!D37,0)</f>
        <v/>
      </c>
      <c r="F14" s="48">
        <f>IFERROR((((Base_Case!D27/(1+F$7)^0.5+Base_Case!E27/(1+F$7)^1.5+Base_Case!F27/(1+F$7)^2.5+Base_Case!G27/(1+F$7)^3.5+Base_Case!H27/(1+F$7)^4.5)+Base_Case!H14*$B14/(1+F$7)^4.5)-Assumptions!D35+Assumptions!D36)/Assumptions!D37,0)</f>
        <v/>
      </c>
      <c r="G14" s="48">
        <f>IFERROR((((Base_Case!D27/(1+G$7)^0.5+Base_Case!E27/(1+G$7)^1.5+Base_Case!F27/(1+G$7)^2.5+Base_Case!G27/(1+G$7)^3.5+Base_Case!H27/(1+G$7)^4.5)+Base_Case!H14*$B14/(1+G$7)^4.5)-Assumptions!D35+Assumptions!D36)/Assumptions!D37,0)</f>
        <v/>
      </c>
      <c r="H14" s="48">
        <f>IFERROR((((Base_Case!D27/(1+H$7)^0.5+Base_Case!E27/(1+H$7)^1.5+Base_Case!F27/(1+H$7)^2.5+Base_Case!G27/(1+H$7)^3.5+Base_Case!H27/(1+H$7)^4.5)+Base_Case!H14*$B14/(1+H$7)^4.5)-Assumptions!D35+Assumptions!D36)/Assumptions!D37,0)</f>
        <v/>
      </c>
      <c r="I14" s="48">
        <f>IFERROR((((Base_Case!D27/(1+I$7)^0.5+Base_Case!E27/(1+I$7)^1.5+Base_Case!F27/(1+I$7)^2.5+Base_Case!G27/(1+I$7)^3.5+Base_Case!H27/(1+I$7)^4.5)+Base_Case!H14*$B14/(1+I$7)^4.5)-Assumptions!D35+Assumptions!D36)/Assumptions!D37,0)</f>
        <v/>
      </c>
      <c r="J14" s="48">
        <f>IFERROR((((Base_Case!D27/(1+J$7)^0.5+Base_Case!E27/(1+J$7)^1.5+Base_Case!F27/(1+J$7)^2.5+Base_Case!G27/(1+J$7)^3.5+Base_Case!H27/(1+J$7)^4.5)+Base_Case!H14*$B14/(1+J$7)^4.5)-Assumptions!D35+Assumptions!D36)/Assumptions!D37,0)</f>
        <v/>
      </c>
      <c r="K14" s="48">
        <f>IFERROR((((Base_Case!D27/(1+K$7)^0.5+Base_Case!E27/(1+K$7)^1.5+Base_Case!F27/(1+K$7)^2.5+Base_Case!G27/(1+K$7)^3.5+Base_Case!H27/(1+K$7)^4.5)+Base_Case!H14*$B14/(1+K$7)^4.5)-Assumptions!D35+Assumptions!D36)/Assumptions!D37,0)</f>
        <v/>
      </c>
    </row>
    <row r="15" ht="20" customHeight="1">
      <c r="B15" s="57" t="n">
        <v>26</v>
      </c>
      <c r="C15" s="48">
        <f>IFERROR((((Base_Case!D27/(1+C$7)^0.5+Base_Case!E27/(1+C$7)^1.5+Base_Case!F27/(1+C$7)^2.5+Base_Case!G27/(1+C$7)^3.5+Base_Case!H27/(1+C$7)^4.5)+Base_Case!H14*$B15/(1+C$7)^4.5)-Assumptions!D35+Assumptions!D36)/Assumptions!D37,0)</f>
        <v/>
      </c>
      <c r="D15" s="48">
        <f>IFERROR((((Base_Case!D27/(1+D$7)^0.5+Base_Case!E27/(1+D$7)^1.5+Base_Case!F27/(1+D$7)^2.5+Base_Case!G27/(1+D$7)^3.5+Base_Case!H27/(1+D$7)^4.5)+Base_Case!H14*$B15/(1+D$7)^4.5)-Assumptions!D35+Assumptions!D36)/Assumptions!D37,0)</f>
        <v/>
      </c>
      <c r="E15" s="48">
        <f>IFERROR((((Base_Case!D27/(1+E$7)^0.5+Base_Case!E27/(1+E$7)^1.5+Base_Case!F27/(1+E$7)^2.5+Base_Case!G27/(1+E$7)^3.5+Base_Case!H27/(1+E$7)^4.5)+Base_Case!H14*$B15/(1+E$7)^4.5)-Assumptions!D35+Assumptions!D36)/Assumptions!D37,0)</f>
        <v/>
      </c>
      <c r="F15" s="48">
        <f>IFERROR((((Base_Case!D27/(1+F$7)^0.5+Base_Case!E27/(1+F$7)^1.5+Base_Case!F27/(1+F$7)^2.5+Base_Case!G27/(1+F$7)^3.5+Base_Case!H27/(1+F$7)^4.5)+Base_Case!H14*$B15/(1+F$7)^4.5)-Assumptions!D35+Assumptions!D36)/Assumptions!D37,0)</f>
        <v/>
      </c>
      <c r="G15" s="48">
        <f>IFERROR((((Base_Case!D27/(1+G$7)^0.5+Base_Case!E27/(1+G$7)^1.5+Base_Case!F27/(1+G$7)^2.5+Base_Case!G27/(1+G$7)^3.5+Base_Case!H27/(1+G$7)^4.5)+Base_Case!H14*$B15/(1+G$7)^4.5)-Assumptions!D35+Assumptions!D36)/Assumptions!D37,0)</f>
        <v/>
      </c>
      <c r="H15" s="48">
        <f>IFERROR((((Base_Case!D27/(1+H$7)^0.5+Base_Case!E27/(1+H$7)^1.5+Base_Case!F27/(1+H$7)^2.5+Base_Case!G27/(1+H$7)^3.5+Base_Case!H27/(1+H$7)^4.5)+Base_Case!H14*$B15/(1+H$7)^4.5)-Assumptions!D35+Assumptions!D36)/Assumptions!D37,0)</f>
        <v/>
      </c>
      <c r="I15" s="48">
        <f>IFERROR((((Base_Case!D27/(1+I$7)^0.5+Base_Case!E27/(1+I$7)^1.5+Base_Case!F27/(1+I$7)^2.5+Base_Case!G27/(1+I$7)^3.5+Base_Case!H27/(1+I$7)^4.5)+Base_Case!H14*$B15/(1+I$7)^4.5)-Assumptions!D35+Assumptions!D36)/Assumptions!D37,0)</f>
        <v/>
      </c>
      <c r="J15" s="48">
        <f>IFERROR((((Base_Case!D27/(1+J$7)^0.5+Base_Case!E27/(1+J$7)^1.5+Base_Case!F27/(1+J$7)^2.5+Base_Case!G27/(1+J$7)^3.5+Base_Case!H27/(1+J$7)^4.5)+Base_Case!H14*$B15/(1+J$7)^4.5)-Assumptions!D35+Assumptions!D36)/Assumptions!D37,0)</f>
        <v/>
      </c>
      <c r="K15" s="48">
        <f>IFERROR((((Base_Case!D27/(1+K$7)^0.5+Base_Case!E27/(1+K$7)^1.5+Base_Case!F27/(1+K$7)^2.5+Base_Case!G27/(1+K$7)^3.5+Base_Case!H27/(1+K$7)^4.5)+Base_Case!H14*$B15/(1+K$7)^4.5)-Assumptions!D35+Assumptions!D36)/Assumptions!D37,0)</f>
        <v/>
      </c>
    </row>
    <row r="16" ht="20" customHeight="1">
      <c r="B16" s="57" t="n">
        <v>28</v>
      </c>
      <c r="C16" s="48">
        <f>IFERROR((((Base_Case!D27/(1+C$7)^0.5+Base_Case!E27/(1+C$7)^1.5+Base_Case!F27/(1+C$7)^2.5+Base_Case!G27/(1+C$7)^3.5+Base_Case!H27/(1+C$7)^4.5)+Base_Case!H14*$B16/(1+C$7)^4.5)-Assumptions!D35+Assumptions!D36)/Assumptions!D37,0)</f>
        <v/>
      </c>
      <c r="D16" s="48">
        <f>IFERROR((((Base_Case!D27/(1+D$7)^0.5+Base_Case!E27/(1+D$7)^1.5+Base_Case!F27/(1+D$7)^2.5+Base_Case!G27/(1+D$7)^3.5+Base_Case!H27/(1+D$7)^4.5)+Base_Case!H14*$B16/(1+D$7)^4.5)-Assumptions!D35+Assumptions!D36)/Assumptions!D37,0)</f>
        <v/>
      </c>
      <c r="E16" s="48">
        <f>IFERROR((((Base_Case!D27/(1+E$7)^0.5+Base_Case!E27/(1+E$7)^1.5+Base_Case!F27/(1+E$7)^2.5+Base_Case!G27/(1+E$7)^3.5+Base_Case!H27/(1+E$7)^4.5)+Base_Case!H14*$B16/(1+E$7)^4.5)-Assumptions!D35+Assumptions!D36)/Assumptions!D37,0)</f>
        <v/>
      </c>
      <c r="F16" s="48">
        <f>IFERROR((((Base_Case!D27/(1+F$7)^0.5+Base_Case!E27/(1+F$7)^1.5+Base_Case!F27/(1+F$7)^2.5+Base_Case!G27/(1+F$7)^3.5+Base_Case!H27/(1+F$7)^4.5)+Base_Case!H14*$B16/(1+F$7)^4.5)-Assumptions!D35+Assumptions!D36)/Assumptions!D37,0)</f>
        <v/>
      </c>
      <c r="G16" s="48">
        <f>IFERROR((((Base_Case!D27/(1+G$7)^0.5+Base_Case!E27/(1+G$7)^1.5+Base_Case!F27/(1+G$7)^2.5+Base_Case!G27/(1+G$7)^3.5+Base_Case!H27/(1+G$7)^4.5)+Base_Case!H14*$B16/(1+G$7)^4.5)-Assumptions!D35+Assumptions!D36)/Assumptions!D37,0)</f>
        <v/>
      </c>
      <c r="H16" s="48">
        <f>IFERROR((((Base_Case!D27/(1+H$7)^0.5+Base_Case!E27/(1+H$7)^1.5+Base_Case!F27/(1+H$7)^2.5+Base_Case!G27/(1+H$7)^3.5+Base_Case!H27/(1+H$7)^4.5)+Base_Case!H14*$B16/(1+H$7)^4.5)-Assumptions!D35+Assumptions!D36)/Assumptions!D37,0)</f>
        <v/>
      </c>
      <c r="I16" s="48">
        <f>IFERROR((((Base_Case!D27/(1+I$7)^0.5+Base_Case!E27/(1+I$7)^1.5+Base_Case!F27/(1+I$7)^2.5+Base_Case!G27/(1+I$7)^3.5+Base_Case!H27/(1+I$7)^4.5)+Base_Case!H14*$B16/(1+I$7)^4.5)-Assumptions!D35+Assumptions!D36)/Assumptions!D37,0)</f>
        <v/>
      </c>
      <c r="J16" s="48">
        <f>IFERROR((((Base_Case!D27/(1+J$7)^0.5+Base_Case!E27/(1+J$7)^1.5+Base_Case!F27/(1+J$7)^2.5+Base_Case!G27/(1+J$7)^3.5+Base_Case!H27/(1+J$7)^4.5)+Base_Case!H14*$B16/(1+J$7)^4.5)-Assumptions!D35+Assumptions!D36)/Assumptions!D37,0)</f>
        <v/>
      </c>
      <c r="K16" s="48">
        <f>IFERROR((((Base_Case!D27/(1+K$7)^0.5+Base_Case!E27/(1+K$7)^1.5+Base_Case!F27/(1+K$7)^2.5+Base_Case!G27/(1+K$7)^3.5+Base_Case!H27/(1+K$7)^4.5)+Base_Case!H14*$B16/(1+K$7)^4.5)-Assumptions!D35+Assumptions!D36)/Assumptions!D37,0)</f>
        <v/>
      </c>
    </row>
    <row r="17" ht="20" customHeight="1">
      <c r="B17" s="57" t="n">
        <v>30</v>
      </c>
      <c r="C17" s="48">
        <f>IFERROR((((Base_Case!D27/(1+C$7)^0.5+Base_Case!E27/(1+C$7)^1.5+Base_Case!F27/(1+C$7)^2.5+Base_Case!G27/(1+C$7)^3.5+Base_Case!H27/(1+C$7)^4.5)+Base_Case!H14*$B17/(1+C$7)^4.5)-Assumptions!D35+Assumptions!D36)/Assumptions!D37,0)</f>
        <v/>
      </c>
      <c r="D17" s="48">
        <f>IFERROR((((Base_Case!D27/(1+D$7)^0.5+Base_Case!E27/(1+D$7)^1.5+Base_Case!F27/(1+D$7)^2.5+Base_Case!G27/(1+D$7)^3.5+Base_Case!H27/(1+D$7)^4.5)+Base_Case!H14*$B17/(1+D$7)^4.5)-Assumptions!D35+Assumptions!D36)/Assumptions!D37,0)</f>
        <v/>
      </c>
      <c r="E17" s="48">
        <f>IFERROR((((Base_Case!D27/(1+E$7)^0.5+Base_Case!E27/(1+E$7)^1.5+Base_Case!F27/(1+E$7)^2.5+Base_Case!G27/(1+E$7)^3.5+Base_Case!H27/(1+E$7)^4.5)+Base_Case!H14*$B17/(1+E$7)^4.5)-Assumptions!D35+Assumptions!D36)/Assumptions!D37,0)</f>
        <v/>
      </c>
      <c r="F17" s="48">
        <f>IFERROR((((Base_Case!D27/(1+F$7)^0.5+Base_Case!E27/(1+F$7)^1.5+Base_Case!F27/(1+F$7)^2.5+Base_Case!G27/(1+F$7)^3.5+Base_Case!H27/(1+F$7)^4.5)+Base_Case!H14*$B17/(1+F$7)^4.5)-Assumptions!D35+Assumptions!D36)/Assumptions!D37,0)</f>
        <v/>
      </c>
      <c r="G17" s="48">
        <f>IFERROR((((Base_Case!D27/(1+G$7)^0.5+Base_Case!E27/(1+G$7)^1.5+Base_Case!F27/(1+G$7)^2.5+Base_Case!G27/(1+G$7)^3.5+Base_Case!H27/(1+G$7)^4.5)+Base_Case!H14*$B17/(1+G$7)^4.5)-Assumptions!D35+Assumptions!D36)/Assumptions!D37,0)</f>
        <v/>
      </c>
      <c r="H17" s="48">
        <f>IFERROR((((Base_Case!D27/(1+H$7)^0.5+Base_Case!E27/(1+H$7)^1.5+Base_Case!F27/(1+H$7)^2.5+Base_Case!G27/(1+H$7)^3.5+Base_Case!H27/(1+H$7)^4.5)+Base_Case!H14*$B17/(1+H$7)^4.5)-Assumptions!D35+Assumptions!D36)/Assumptions!D37,0)</f>
        <v/>
      </c>
      <c r="I17" s="48">
        <f>IFERROR((((Base_Case!D27/(1+I$7)^0.5+Base_Case!E27/(1+I$7)^1.5+Base_Case!F27/(1+I$7)^2.5+Base_Case!G27/(1+I$7)^3.5+Base_Case!H27/(1+I$7)^4.5)+Base_Case!H14*$B17/(1+I$7)^4.5)-Assumptions!D35+Assumptions!D36)/Assumptions!D37,0)</f>
        <v/>
      </c>
      <c r="J17" s="48">
        <f>IFERROR((((Base_Case!D27/(1+J$7)^0.5+Base_Case!E27/(1+J$7)^1.5+Base_Case!F27/(1+J$7)^2.5+Base_Case!G27/(1+J$7)^3.5+Base_Case!H27/(1+J$7)^4.5)+Base_Case!H14*$B17/(1+J$7)^4.5)-Assumptions!D35+Assumptions!D36)/Assumptions!D37,0)</f>
        <v/>
      </c>
      <c r="K17" s="48">
        <f>IFERROR((((Base_Case!D27/(1+K$7)^0.5+Base_Case!E27/(1+K$7)^1.5+Base_Case!F27/(1+K$7)^2.5+Base_Case!G27/(1+K$7)^3.5+Base_Case!H27/(1+K$7)^4.5)+Base_Case!H14*$B17/(1+K$7)^4.5)-Assumptions!D35+Assumptions!D36)/Assumptions!D37,0)</f>
        <v/>
      </c>
    </row>
    <row r="20">
      <c r="B20" s="13" t="inlineStr">
        <is>
          <t>Current share price:</t>
        </is>
      </c>
      <c r="C20" s="51">
        <f>Assumptions!D38</f>
        <v/>
      </c>
    </row>
    <row r="21">
      <c r="B21" s="13" t="inlineStr">
        <is>
          <t>Base case exit multiple:</t>
        </is>
      </c>
      <c r="C21" s="59">
        <f>Assumptions!D32</f>
        <v/>
      </c>
    </row>
    <row r="22">
      <c r="B22" s="13" t="inlineStr">
        <is>
          <t>Base case WACC:</t>
        </is>
      </c>
      <c r="C22" s="36">
        <f>Assumptions!D28</f>
        <v/>
      </c>
    </row>
    <row r="24" ht="48" customHeight="1">
      <c r="B24" s="11" t="inlineStr">
        <is>
          <t>Methodology: Each cell recomputes the DCF using Base case unlevered FCFs and Year-5 EBITDA, but overrides the Exit EV/EBITDA multiple (row) and WACC (column). Terminal value = EBITDA_y5 × Exit Multiple, discounted at (1+WACC)^4.5. This cross-checks the Gordon Growth method shown in the WACC sensitivity.</t>
        </is>
      </c>
    </row>
  </sheetData>
  <mergeCells count="4">
    <mergeCell ref="B4:K4"/>
    <mergeCell ref="B6:K6"/>
    <mergeCell ref="B24:K24"/>
    <mergeCell ref="B2:K2"/>
  </mergeCells>
  <conditionalFormatting sqref="C8:K17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Z.ai DCF Model Builder</dc:creator>
  <dc:title xmlns:dc="http://purl.org/dc/elements/1.1/">AI Chip Company DCF Valuation</dc:title>
  <dc:description xmlns:dc="http://purl.org/dc/elements/1.1/">Comprehensive DCF valuation model for a hypothetical AI chip company. Base case assumes 25% 5-year revenue CAGR. Includes WACC and terminal value sensitivity analyses.</dc:description>
  <dc:subject xmlns:dc="http://purl.org/dc/elements/1.1/">DCF with Bear/Base/Bull scenarios, WACC &amp; TV sensitivity</dc:subject>
  <dcterms:created xmlns:dcterms="http://purl.org/dc/terms/" xmlns:xsi="http://www.w3.org/2001/XMLSchema-instance" xsi:type="dcterms:W3CDTF">2026-08-08T01:26:58Z</dcterms:created>
  <dcterms:modified xmlns:dcterms="http://purl.org/dc/terms/" xmlns:xsi="http://www.w3.org/2001/XMLSchema-instance" xsi:type="dcterms:W3CDTF">2026-08-08T01:26:58Z</dcterms:modified>
</cp:coreProperties>
</file>